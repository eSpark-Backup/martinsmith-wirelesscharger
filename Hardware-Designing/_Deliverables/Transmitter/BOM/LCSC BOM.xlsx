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<sst xmlns="http://schemas.openxmlformats.org/spreadsheetml/2006/main" count="137" uniqueCount="102">
  <si>
    <t>Bill of Material (BOM) for  Martin Transmitter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</si>
  <si>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</si>
  <si>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</si>
  <si>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</si>
  <si>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</si>
  <si>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</si>
  <si>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</si>
  <si>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</si>
  <si>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LCSC Part no:</t>
  </si>
  <si>
    <t>Alternate</t>
  </si>
  <si>
    <t>Value</t>
  </si>
  <si>
    <t>Quantity (Per Board)</t>
  </si>
  <si>
    <t>Total MOQ</t>
  </si>
  <si>
    <t>Quantity 5</t>
  </si>
  <si>
    <t>LCSC Link</t>
  </si>
  <si>
    <t>Unit Cost(1)</t>
  </si>
  <si>
    <t>Total Cost(1)</t>
  </si>
  <si>
    <t>MOQ Total</t>
  </si>
  <si>
    <t>Unit Cost (5 Boards)</t>
  </si>
  <si>
    <t>Total Cost (5)</t>
  </si>
  <si>
    <t>Remarks</t>
  </si>
  <si>
    <t>Capacitors</t>
  </si>
  <si>
    <t>CAP CER 1000PF 16V X7R 0201</t>
  </si>
  <si>
    <t>C1</t>
  </si>
  <si>
    <t>CAP 0201</t>
  </si>
  <si>
    <t>0201B102K160CT</t>
  </si>
  <si>
    <t xml:space="preserve">
Walsin Tech Corp</t>
  </si>
  <si>
    <t xml:space="preserve">C338142
</t>
  </si>
  <si>
    <t>-------------</t>
  </si>
  <si>
    <t>1nF</t>
  </si>
  <si>
    <t>LCSC</t>
  </si>
  <si>
    <t>CAP CER 22UF 25V X5R 1206</t>
  </si>
  <si>
    <t>C2</t>
  </si>
  <si>
    <t>Cap1206</t>
  </si>
  <si>
    <t>C3216X5R1E226M160AB</t>
  </si>
  <si>
    <t xml:space="preserve">
Taiyo Yuden</t>
  </si>
  <si>
    <t>C386093</t>
  </si>
  <si>
    <t xml:space="preserve">TMK316BBJ226ML-T
</t>
  </si>
  <si>
    <t>22uF</t>
  </si>
  <si>
    <t xml:space="preserve">CAP CER 0.082UF 50V X7R 1206
</t>
  </si>
  <si>
    <t>C3</t>
  </si>
  <si>
    <t>CC1206KRX7R9BB823</t>
  </si>
  <si>
    <t xml:space="preserve">
YAGEO</t>
  </si>
  <si>
    <t>C527359</t>
  </si>
  <si>
    <t>0.082uF</t>
  </si>
  <si>
    <t>CAP CER 0.1UF 35V X5R 0201</t>
  </si>
  <si>
    <t>C5</t>
  </si>
  <si>
    <t>GRM033R6YA104ME14D</t>
  </si>
  <si>
    <t>Murata</t>
  </si>
  <si>
    <t>C412631</t>
  </si>
  <si>
    <t xml:space="preserve">TDK063BJ104KP-F
</t>
  </si>
  <si>
    <t>0.1uF</t>
  </si>
  <si>
    <t>CAP CER 1UF 10V X5R 0402</t>
  </si>
  <si>
    <t>C6</t>
  </si>
  <si>
    <t>Cap0402</t>
  </si>
  <si>
    <t>CC0402KRX5R6BB105</t>
  </si>
  <si>
    <t>Yageo</t>
  </si>
  <si>
    <t>C106254</t>
  </si>
  <si>
    <t>1uF</t>
  </si>
  <si>
    <t>Resistors</t>
  </si>
  <si>
    <t>RES SMD 47K OHM 5% 1/20W 0201</t>
  </si>
  <si>
    <t>R1, R2</t>
  </si>
  <si>
    <t>Res-0201</t>
  </si>
  <si>
    <t>ERJ-1GNJ473C</t>
  </si>
  <si>
    <t>Panasonic</t>
  </si>
  <si>
    <t>C713503</t>
  </si>
  <si>
    <t>47K</t>
  </si>
  <si>
    <t>RES SMD 9.1K OHM 5% 1/20W 0201</t>
  </si>
  <si>
    <t>R3</t>
  </si>
  <si>
    <t>RC0201JR-079K1L</t>
  </si>
  <si>
    <t>C295871</t>
  </si>
  <si>
    <t>9.1K</t>
  </si>
  <si>
    <t>RES SMD 5.23K OHM 1% 1/20W 0201</t>
  </si>
  <si>
    <t>R4, R5</t>
  </si>
  <si>
    <t>ERJ-1GNF5231C</t>
  </si>
  <si>
    <t>C332546</t>
  </si>
  <si>
    <t>RTT015231FTH</t>
  </si>
  <si>
    <t>5.23K</t>
  </si>
  <si>
    <t>IC</t>
  </si>
  <si>
    <t>1.5AUSB power chip wireless wireless charging</t>
  </si>
  <si>
    <t>U1</t>
  </si>
  <si>
    <t>SOP-8</t>
  </si>
  <si>
    <t>XKT-412</t>
  </si>
  <si>
    <t>-----------</t>
  </si>
  <si>
    <t>AliE</t>
  </si>
  <si>
    <t>high current power charging wireless IC chip</t>
  </si>
  <si>
    <t>U2</t>
  </si>
  <si>
    <t>XKT-335</t>
  </si>
  <si>
    <t>available 5 pieces per lot only</t>
  </si>
  <si>
    <t>Connectors</t>
  </si>
  <si>
    <t>CONN RCP USB3.1 TYPEC 24P SMD RA</t>
  </si>
  <si>
    <t>J2</t>
  </si>
  <si>
    <t>Custom</t>
  </si>
  <si>
    <t>2305018-2</t>
  </si>
  <si>
    <t>TE Connectivity</t>
  </si>
  <si>
    <t>C498674</t>
  </si>
  <si>
    <t>-----------------</t>
  </si>
  <si>
    <t>J1</t>
  </si>
  <si>
    <t>SMD PAD</t>
  </si>
  <si>
    <t>DO NOT Mount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</si>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</sst>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-[$$-409]* #,##0.00_ ;_-[$$-409]* \-#,##0.00\ ;_-[$$-409]* &quot;-&quot;??_ ;_-@_ "/>
    <numFmt numFmtId="179" formatCode="&quot;$&quot;#,##0.00000"/>
  </numFmts>
  <fonts count="30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4"/>
      <name val="Calibri"/>
      <charset val="134"/>
      <scheme val="minor"/>
    </font>
    <font>
      <u/>
      <sz val="10"/>
      <color theme="10"/>
      <name val="Arial"/>
      <charset val="134"/>
    </font>
    <font>
      <u/>
      <sz val="10"/>
      <color rgb="FF800080"/>
      <name val="Arial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4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7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0" fillId="18" borderId="23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15" borderId="19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19" fillId="16" borderId="20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7" fillId="16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78" fontId="7" fillId="3" borderId="0" xfId="0" applyNumberFormat="1" applyFont="1" applyFill="1" applyBorder="1" applyAlignment="1"/>
    <xf numFmtId="178" fontId="7" fillId="3" borderId="0" xfId="0" applyNumberFormat="1" applyFont="1" applyFill="1" applyBorder="1" applyAlignment="1">
      <alignment horizontal="left"/>
    </xf>
    <xf numFmtId="0" fontId="4" fillId="0" borderId="6" xfId="0" applyFont="1" applyFill="1" applyBorder="1" applyAlignment="1">
      <alignment horizontal="center" vertical="center"/>
    </xf>
    <xf numFmtId="0" fontId="8" fillId="0" borderId="6" xfId="7" applyBorder="1" applyAlignment="1" applyProtection="1">
      <alignment horizontal="center" vertical="center"/>
    </xf>
    <xf numFmtId="179" fontId="5" fillId="0" borderId="6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8" fillId="0" borderId="9" xfId="7" applyBorder="1" applyAlignment="1" applyProtection="1">
      <alignment horizontal="center" vertical="center"/>
    </xf>
    <xf numFmtId="179" fontId="5" fillId="0" borderId="9" xfId="0" applyNumberFormat="1" applyFont="1" applyBorder="1" applyAlignment="1">
      <alignment horizontal="center" vertical="center"/>
    </xf>
    <xf numFmtId="179" fontId="4" fillId="0" borderId="9" xfId="0" applyNumberFormat="1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9" fillId="0" borderId="12" xfId="7" applyFont="1" applyBorder="1" applyAlignment="1" applyProtection="1">
      <alignment horizontal="center" vertical="center"/>
    </xf>
    <xf numFmtId="179" fontId="5" fillId="0" borderId="12" xfId="0" applyNumberFormat="1" applyFont="1" applyBorder="1" applyAlignment="1">
      <alignment horizontal="center" vertical="center"/>
    </xf>
    <xf numFmtId="179" fontId="4" fillId="0" borderId="12" xfId="0" applyNumberFormat="1" applyFont="1" applyBorder="1" applyAlignment="1">
      <alignment horizontal="center" vertical="center"/>
    </xf>
    <xf numFmtId="0" fontId="9" fillId="0" borderId="6" xfId="7" applyFont="1" applyBorder="1" applyAlignment="1" applyProtection="1">
      <alignment horizontal="center" vertical="center"/>
    </xf>
    <xf numFmtId="0" fontId="9" fillId="0" borderId="9" xfId="7" applyFont="1" applyBorder="1" applyAlignment="1" applyProtection="1">
      <alignment horizontal="center" vertical="center"/>
    </xf>
    <xf numFmtId="0" fontId="9" fillId="4" borderId="6" xfId="7" applyFont="1" applyFill="1" applyBorder="1" applyAlignment="1" applyProtection="1">
      <alignment horizontal="center" vertical="center"/>
    </xf>
    <xf numFmtId="179" fontId="4" fillId="4" borderId="6" xfId="0" applyNumberFormat="1" applyFont="1" applyFill="1" applyBorder="1" applyAlignment="1">
      <alignment horizontal="center" vertical="center"/>
    </xf>
    <xf numFmtId="0" fontId="9" fillId="4" borderId="12" xfId="7" applyFont="1" applyFill="1" applyBorder="1" applyAlignment="1" applyProtection="1">
      <alignment horizontal="center" vertical="center"/>
    </xf>
    <xf numFmtId="179" fontId="4" fillId="4" borderId="12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7" fillId="3" borderId="13" xfId="0" applyFont="1" applyFill="1" applyBorder="1" applyAlignment="1">
      <alignment horizontal="center"/>
    </xf>
    <xf numFmtId="178" fontId="10" fillId="3" borderId="0" xfId="0" applyNumberFormat="1" applyFont="1" applyFill="1" applyAlignment="1"/>
    <xf numFmtId="0" fontId="7" fillId="3" borderId="2" xfId="0" applyFont="1" applyFill="1" applyBorder="1" applyAlignment="1">
      <alignment horizontal="center"/>
    </xf>
    <xf numFmtId="178" fontId="7" fillId="3" borderId="2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179" fontId="5" fillId="0" borderId="15" xfId="0" applyNumberFormat="1" applyFont="1" applyBorder="1" applyAlignment="1">
      <alignment horizontal="left" vertical="center"/>
    </xf>
    <xf numFmtId="179" fontId="4" fillId="0" borderId="9" xfId="0" applyNumberFormat="1" applyFont="1" applyFill="1" applyBorder="1" applyAlignment="1">
      <alignment horizontal="center" vertical="center"/>
    </xf>
    <xf numFmtId="179" fontId="5" fillId="0" borderId="16" xfId="0" applyNumberFormat="1" applyFont="1" applyBorder="1" applyAlignment="1">
      <alignment horizontal="left" vertical="center"/>
    </xf>
    <xf numFmtId="179" fontId="4" fillId="0" borderId="12" xfId="0" applyNumberFormat="1" applyFont="1" applyFill="1" applyBorder="1" applyAlignment="1">
      <alignment horizontal="center" vertical="center"/>
    </xf>
    <xf numFmtId="179" fontId="5" fillId="0" borderId="17" xfId="0" applyNumberFormat="1" applyFont="1" applyBorder="1" applyAlignment="1">
      <alignment horizontal="left" vertical="center"/>
    </xf>
    <xf numFmtId="179" fontId="4" fillId="4" borderId="15" xfId="0" applyNumberFormat="1" applyFont="1" applyFill="1" applyBorder="1" applyAlignment="1">
      <alignment horizontal="center" vertical="center"/>
    </xf>
    <xf numFmtId="179" fontId="4" fillId="4" borderId="17" xfId="0" applyNumberFormat="1" applyFont="1" applyFill="1" applyBorder="1" applyAlignment="1">
      <alignment horizontal="center" vertical="center"/>
    </xf>
    <xf numFmtId="179" fontId="5" fillId="0" borderId="15" xfId="0" applyNumberFormat="1" applyFont="1" applyBorder="1" applyAlignment="1">
      <alignment horizontal="left" vertical="center" wrapText="1" indent="1"/>
    </xf>
    <xf numFmtId="178" fontId="11" fillId="4" borderId="17" xfId="0" applyNumberFormat="1" applyFont="1" applyFill="1" applyBorder="1" applyAlignment="1">
      <alignment horizontal="center" vertical="center"/>
    </xf>
    <xf numFmtId="178" fontId="7" fillId="3" borderId="0" xfId="0" applyNumberFormat="1" applyFont="1" applyFill="1" applyAlignment="1"/>
    <xf numFmtId="178" fontId="7" fillId="3" borderId="0" xfId="0" applyNumberFormat="1" applyFont="1" applyFill="1" applyBorder="1" applyAlignment="1">
      <alignment horizontal="center"/>
    </xf>
    <xf numFmtId="178" fontId="12" fillId="5" borderId="0" xfId="23" applyNumberFormat="1" applyFont="1" applyBorder="1" applyAlignment="1"/>
    <xf numFmtId="0" fontId="4" fillId="0" borderId="5" xfId="0" applyFont="1" applyBorder="1" applyAlignment="1" quotePrefix="1">
      <alignment horizontal="left" vertical="center"/>
    </xf>
    <xf numFmtId="0" fontId="4" fillId="0" borderId="6" xfId="0" applyFont="1" applyBorder="1" applyAlignment="1" quotePrefix="1">
      <alignment horizontal="center" vertical="center"/>
    </xf>
    <xf numFmtId="0" fontId="4" fillId="0" borderId="6" xfId="0" applyFont="1" applyFill="1" applyBorder="1" applyAlignment="1" quotePrefix="1">
      <alignment horizontal="center" vertical="center"/>
    </xf>
    <xf numFmtId="0" fontId="4" fillId="0" borderId="8" xfId="0" applyFont="1" applyBorder="1" applyAlignment="1" quotePrefix="1">
      <alignment horizontal="left" vertical="center"/>
    </xf>
    <xf numFmtId="0" fontId="4" fillId="0" borderId="9" xfId="0" applyFont="1" applyBorder="1" applyAlignment="1" quotePrefix="1">
      <alignment horizontal="center" vertical="center"/>
    </xf>
    <xf numFmtId="0" fontId="4" fillId="3" borderId="9" xfId="0" applyFont="1" applyFill="1" applyBorder="1" applyAlignment="1" quotePrefix="1">
      <alignment horizontal="center" vertical="center"/>
    </xf>
    <xf numFmtId="0" fontId="4" fillId="0" borderId="9" xfId="0" applyFont="1" applyFill="1" applyBorder="1" applyAlignment="1" quotePrefix="1">
      <alignment horizontal="center" vertical="center"/>
    </xf>
    <xf numFmtId="0" fontId="4" fillId="0" borderId="11" xfId="0" applyFont="1" applyBorder="1" applyAlignment="1" quotePrefix="1">
      <alignment horizontal="left" vertical="center"/>
    </xf>
    <xf numFmtId="0" fontId="4" fillId="0" borderId="12" xfId="0" applyFont="1" applyBorder="1" applyAlignment="1" quotePrefix="1">
      <alignment horizontal="center" vertical="center"/>
    </xf>
    <xf numFmtId="0" fontId="4" fillId="3" borderId="12" xfId="0" applyFont="1" applyFill="1" applyBorder="1" applyAlignment="1" quotePrefix="1">
      <alignment horizontal="center" vertical="center"/>
    </xf>
    <xf numFmtId="0" fontId="4" fillId="0" borderId="12" xfId="0" applyFont="1" applyFill="1" applyBorder="1" applyAlignment="1" quotePrefix="1">
      <alignment horizontal="center" vertical="center"/>
    </xf>
    <xf numFmtId="0" fontId="4" fillId="3" borderId="6" xfId="0" applyFont="1" applyFill="1" applyBorder="1" applyAlignment="1" quotePrefix="1">
      <alignment horizontal="center" vertical="center"/>
    </xf>
    <xf numFmtId="0" fontId="4" fillId="4" borderId="5" xfId="0" applyFont="1" applyFill="1" applyBorder="1" applyAlignment="1" quotePrefix="1">
      <alignment horizontal="left" vertical="center"/>
    </xf>
    <xf numFmtId="0" fontId="4" fillId="4" borderId="6" xfId="0" applyFont="1" applyFill="1" applyBorder="1" applyAlignment="1" quotePrefix="1">
      <alignment horizontal="center" vertical="center"/>
    </xf>
    <xf numFmtId="0" fontId="4" fillId="4" borderId="11" xfId="0" applyFont="1" applyFill="1" applyBorder="1" applyAlignment="1" quotePrefix="1">
      <alignment horizontal="left" vertical="center"/>
    </xf>
    <xf numFmtId="0" fontId="4" fillId="4" borderId="12" xfId="0" applyFont="1" applyFill="1" applyBorder="1" applyAlignment="1" quotePrefix="1">
      <alignment horizontal="center" vertical="center"/>
    </xf>
    <xf numFmtId="0" fontId="6" fillId="4" borderId="11" xfId="0" applyFont="1" applyFill="1" applyBorder="1" applyAlignment="1" quotePrefix="1">
      <alignment horizontal="center" vertical="center"/>
    </xf>
    <xf numFmtId="0" fontId="6" fillId="4" borderId="12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ultilayer-Ceramic-Capacitors-MLCC-SMD-SMT_Taiyo-Yuden-TMK316BBJ226ML-T_C386093.html" TargetMode="External"/><Relationship Id="rId8" Type="http://schemas.openxmlformats.org/officeDocument/2006/relationships/hyperlink" Target="https://www.lcsc.com/product-detail/Multilayer-Ceramic-Capacitors-MLCC-SMD-SMT_Walsin-Tech-Corp-0201B102K160CT_C338142.html" TargetMode="External"/><Relationship Id="rId7" Type="http://schemas.openxmlformats.org/officeDocument/2006/relationships/hyperlink" Target="https://lcsc.com/product-detail/USB-Connectors_TE-Connectivity-2305018-2_C498674.html" TargetMode="External"/><Relationship Id="rId6" Type="http://schemas.openxmlformats.org/officeDocument/2006/relationships/hyperlink" Target="https://www.aliexpress.com/item/33018383643.html?spm=a2g0o.productlist.0.0.77fe52adQb6CDt&amp;algo_pvid=c7f128d6-a4bd-46b9-add2-00e04c3358ad&amp;algo_expid=c7f128d6-a4bd-46b9-add2-00e04c3358ad-0&amp;btsid=0bb0623016145410986685064ef48a&amp;ws_ab_test=searchweb0_0,searchw" TargetMode="External"/><Relationship Id="rId5" Type="http://schemas.openxmlformats.org/officeDocument/2006/relationships/hyperlink" Target="https://www.aliexpress.com/item/4000189686978.html" TargetMode="External"/><Relationship Id="rId4" Type="http://schemas.openxmlformats.org/officeDocument/2006/relationships/hyperlink" Target="https://lcsc.com/product-detail/Others_RALEC-RTT015231FTH_C332546.html" TargetMode="External"/><Relationship Id="rId3" Type="http://schemas.openxmlformats.org/officeDocument/2006/relationships/hyperlink" Target="https://lcsc.com/product-detail/Chip-Resistor-Surface-Mount_YAGEO-RC0201JR-079K1L_C295871.html" TargetMode="External"/><Relationship Id="rId2" Type="http://schemas.openxmlformats.org/officeDocument/2006/relationships/hyperlink" Target="https://lcsc.com/product-detail/Chip-Resistor-Surface-Mount_PANASONIC-ERJ1GNJ473C_C713503.html" TargetMode="External"/><Relationship Id="rId11" Type="http://schemas.openxmlformats.org/officeDocument/2006/relationships/hyperlink" Target="https://www.lcsc.com/product-detail/Multilayer-Ceramic-Capacitors-MLCC-SMD-SMT_Taiyo-Yuden-TDK063BJ104KP-F_C412631.html" TargetMode="External"/><Relationship Id="rId10" Type="http://schemas.openxmlformats.org/officeDocument/2006/relationships/hyperlink" Target="https://www.lcsc.com/product-detail/Multilayer-Ceramic-Capacitors-MLCC-SMD-SMT_YAGEO-CC1206KRX7R9BB823_C527359.html" TargetMode="External"/><Relationship Id="rId1" Type="http://schemas.openxmlformats.org/officeDocument/2006/relationships/hyperlink" Target="https://lcsc.com/product-detail/Multilayer-Ceramic-Capacitors-MLCC-SMD-SMT_YAGEO-CC0402KRX5R6BB105_C10625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D24" sqref="D24"/>
    </sheetView>
  </sheetViews>
  <sheetFormatPr defaultColWidth="9" defaultRowHeight="15"/>
  <cols>
    <col min="1" max="1" width="6.71428571428571" customWidth="1"/>
    <col min="2" max="2" width="13.4285714285714" customWidth="1"/>
    <col min="3" max="3" width="38.8571428571429" customWidth="1"/>
    <col min="4" max="4" width="11.5714285714286" customWidth="1"/>
    <col min="5" max="5" width="20.5714285714286" customWidth="1"/>
    <col min="6" max="6" width="28.4285714285714" customWidth="1"/>
    <col min="7" max="7" width="16.1428571428571" customWidth="1"/>
    <col min="8" max="8" width="15" customWidth="1"/>
    <col min="9" max="9" width="17.7142857142857" customWidth="1"/>
    <col min="11" max="11" width="21.8571428571429" customWidth="1"/>
    <col min="12" max="12" width="14.2857142857143" customWidth="1"/>
    <col min="13" max="13" width="11.4285714285714" customWidth="1"/>
    <col min="14" max="14" width="12.8571428571429" customWidth="1"/>
    <col min="15" max="15" width="12.4285714285714" customWidth="1"/>
    <col min="16" max="17" width="13.4285714285714" customWidth="1"/>
    <col min="18" max="18" width="20.5714285714286" customWidth="1"/>
    <col min="19" max="19" width="14" customWidth="1"/>
    <col min="20" max="20" width="24.7142857142857" customWidth="1"/>
  </cols>
  <sheetData>
    <row r="1" ht="16.5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53"/>
    </row>
    <row r="2" ht="16.5" spans="1:20">
      <c r="A2" s="3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2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53" t="s">
        <v>19</v>
      </c>
      <c r="T2" s="4" t="s">
        <v>20</v>
      </c>
    </row>
    <row r="3" ht="15.75" spans="1:20">
      <c r="A3" s="5">
        <v>1</v>
      </c>
      <c r="B3" s="6" t="s">
        <v>21</v>
      </c>
      <c r="C3" s="67" t="s">
        <v>22</v>
      </c>
      <c r="D3" s="68" t="s">
        <v>23</v>
      </c>
      <c r="E3" s="68" t="s">
        <v>24</v>
      </c>
      <c r="F3" s="68" t="s">
        <v>25</v>
      </c>
      <c r="G3" s="8" t="s">
        <v>26</v>
      </c>
      <c r="H3" s="9" t="s">
        <v>27</v>
      </c>
      <c r="I3" s="69" t="s">
        <v>28</v>
      </c>
      <c r="J3" s="68" t="s">
        <v>29</v>
      </c>
      <c r="K3" s="8">
        <v>1</v>
      </c>
      <c r="L3" s="8">
        <v>100</v>
      </c>
      <c r="M3" s="30">
        <f>K3*5</f>
        <v>5</v>
      </c>
      <c r="N3" s="31" t="s">
        <v>30</v>
      </c>
      <c r="O3" s="32">
        <v>0.0014</v>
      </c>
      <c r="P3" s="33">
        <f>O3*K3</f>
        <v>0.0014</v>
      </c>
      <c r="Q3" s="33">
        <f>O3*L3</f>
        <v>0.14</v>
      </c>
      <c r="R3" s="32">
        <v>0.0014</v>
      </c>
      <c r="S3" s="54">
        <f>R3*L3</f>
        <v>0.14</v>
      </c>
      <c r="T3" s="55"/>
    </row>
    <row r="4" ht="15.75" spans="1:20">
      <c r="A4" s="5">
        <v>2</v>
      </c>
      <c r="B4" s="10"/>
      <c r="C4" s="70" t="s">
        <v>31</v>
      </c>
      <c r="D4" s="71" t="s">
        <v>32</v>
      </c>
      <c r="E4" s="71" t="s">
        <v>33</v>
      </c>
      <c r="F4" s="72" t="s">
        <v>34</v>
      </c>
      <c r="G4" s="12" t="s">
        <v>35</v>
      </c>
      <c r="H4" s="14" t="s">
        <v>36</v>
      </c>
      <c r="I4" s="34" t="s">
        <v>37</v>
      </c>
      <c r="J4" s="71" t="s">
        <v>38</v>
      </c>
      <c r="K4" s="12">
        <v>1</v>
      </c>
      <c r="L4" s="12">
        <v>10</v>
      </c>
      <c r="M4" s="34">
        <f>K4*5</f>
        <v>5</v>
      </c>
      <c r="N4" s="35" t="s">
        <v>30</v>
      </c>
      <c r="O4" s="36">
        <v>0.0918</v>
      </c>
      <c r="P4" s="37">
        <f t="shared" ref="P4:P13" si="0">O4*K4</f>
        <v>0.0918</v>
      </c>
      <c r="Q4" s="37">
        <f t="shared" ref="Q4:Q13" si="1">O4*L4</f>
        <v>0.918</v>
      </c>
      <c r="R4" s="36">
        <v>0.0918</v>
      </c>
      <c r="S4" s="56">
        <f>R4*L4</f>
        <v>0.918</v>
      </c>
      <c r="T4" s="57"/>
    </row>
    <row r="5" ht="15.75" spans="1:20">
      <c r="A5" s="5">
        <v>3</v>
      </c>
      <c r="B5" s="10"/>
      <c r="C5" s="15" t="s">
        <v>39</v>
      </c>
      <c r="D5" s="71" t="s">
        <v>40</v>
      </c>
      <c r="E5" s="71" t="s">
        <v>33</v>
      </c>
      <c r="F5" s="72" t="s">
        <v>41</v>
      </c>
      <c r="G5" s="12" t="s">
        <v>42</v>
      </c>
      <c r="H5" s="14" t="s">
        <v>43</v>
      </c>
      <c r="I5" s="73" t="s">
        <v>28</v>
      </c>
      <c r="J5" s="71" t="s">
        <v>44</v>
      </c>
      <c r="K5" s="12">
        <v>1</v>
      </c>
      <c r="L5" s="12">
        <v>20</v>
      </c>
      <c r="M5" s="34">
        <f t="shared" ref="M5:M14" si="2">K5*5</f>
        <v>5</v>
      </c>
      <c r="N5" s="35" t="s">
        <v>30</v>
      </c>
      <c r="O5" s="36">
        <v>0.0238</v>
      </c>
      <c r="P5" s="37">
        <f>O5*L5</f>
        <v>0.476</v>
      </c>
      <c r="Q5" s="37">
        <f t="shared" si="1"/>
        <v>0.476</v>
      </c>
      <c r="R5" s="36">
        <v>0.0238</v>
      </c>
      <c r="S5" s="56">
        <f>R5*L5</f>
        <v>0.476</v>
      </c>
      <c r="T5" s="57"/>
    </row>
    <row r="6" ht="15.75" spans="1:20">
      <c r="A6" s="5">
        <v>4</v>
      </c>
      <c r="B6" s="10"/>
      <c r="C6" s="70" t="s">
        <v>45</v>
      </c>
      <c r="D6" s="71" t="s">
        <v>46</v>
      </c>
      <c r="E6" s="71" t="s">
        <v>24</v>
      </c>
      <c r="F6" s="72" t="s">
        <v>47</v>
      </c>
      <c r="G6" s="71" t="s">
        <v>48</v>
      </c>
      <c r="H6" s="14" t="s">
        <v>49</v>
      </c>
      <c r="I6" s="34" t="s">
        <v>50</v>
      </c>
      <c r="J6" s="71" t="s">
        <v>51</v>
      </c>
      <c r="K6" s="12">
        <v>1</v>
      </c>
      <c r="L6" s="12">
        <v>50</v>
      </c>
      <c r="M6" s="34">
        <f t="shared" si="2"/>
        <v>5</v>
      </c>
      <c r="N6" s="35" t="s">
        <v>30</v>
      </c>
      <c r="O6" s="36">
        <v>0.0037</v>
      </c>
      <c r="P6" s="37">
        <f t="shared" si="0"/>
        <v>0.0037</v>
      </c>
      <c r="Q6" s="37">
        <f t="shared" si="1"/>
        <v>0.185</v>
      </c>
      <c r="R6" s="36">
        <v>0.0037</v>
      </c>
      <c r="S6" s="56">
        <f t="shared" ref="S4:S13" si="3">R6*M6</f>
        <v>0.0185</v>
      </c>
      <c r="T6" s="57"/>
    </row>
    <row r="7" ht="15.75" spans="1:20">
      <c r="A7" s="5">
        <v>5</v>
      </c>
      <c r="B7" s="16"/>
      <c r="C7" s="74" t="s">
        <v>52</v>
      </c>
      <c r="D7" s="75" t="s">
        <v>53</v>
      </c>
      <c r="E7" s="75" t="s">
        <v>54</v>
      </c>
      <c r="F7" s="76" t="s">
        <v>55</v>
      </c>
      <c r="G7" s="75" t="s">
        <v>56</v>
      </c>
      <c r="H7" s="20" t="s">
        <v>57</v>
      </c>
      <c r="I7" s="77" t="s">
        <v>28</v>
      </c>
      <c r="J7" s="75" t="s">
        <v>58</v>
      </c>
      <c r="K7" s="18">
        <v>1</v>
      </c>
      <c r="L7" s="18">
        <v>100</v>
      </c>
      <c r="M7" s="38">
        <f t="shared" si="2"/>
        <v>5</v>
      </c>
      <c r="N7" s="39" t="s">
        <v>30</v>
      </c>
      <c r="O7" s="40">
        <v>0.0031</v>
      </c>
      <c r="P7" s="41">
        <f t="shared" si="0"/>
        <v>0.0031</v>
      </c>
      <c r="Q7" s="41">
        <f t="shared" si="1"/>
        <v>0.31</v>
      </c>
      <c r="R7" s="40">
        <v>0.0031</v>
      </c>
      <c r="S7" s="58">
        <f>R7*L7</f>
        <v>0.31</v>
      </c>
      <c r="T7" s="59"/>
    </row>
    <row r="8" ht="15.75" spans="1:20">
      <c r="A8" s="5">
        <v>6</v>
      </c>
      <c r="B8" s="6" t="s">
        <v>59</v>
      </c>
      <c r="C8" s="67" t="s">
        <v>60</v>
      </c>
      <c r="D8" s="68" t="s">
        <v>61</v>
      </c>
      <c r="E8" s="68" t="s">
        <v>62</v>
      </c>
      <c r="F8" s="78" t="s">
        <v>63</v>
      </c>
      <c r="G8" s="68" t="s">
        <v>64</v>
      </c>
      <c r="H8" s="9" t="s">
        <v>65</v>
      </c>
      <c r="I8" s="68" t="s">
        <v>28</v>
      </c>
      <c r="J8" s="68" t="s">
        <v>66</v>
      </c>
      <c r="K8" s="8">
        <v>2</v>
      </c>
      <c r="L8" s="8">
        <v>50</v>
      </c>
      <c r="M8" s="30">
        <f t="shared" si="2"/>
        <v>10</v>
      </c>
      <c r="N8" s="42" t="s">
        <v>30</v>
      </c>
      <c r="O8" s="32">
        <v>0.006</v>
      </c>
      <c r="P8" s="33">
        <f>O8*L8</f>
        <v>0.3</v>
      </c>
      <c r="Q8" s="33">
        <f t="shared" si="1"/>
        <v>0.3</v>
      </c>
      <c r="R8" s="32">
        <v>0.006</v>
      </c>
      <c r="S8" s="54">
        <f t="shared" si="3"/>
        <v>0.06</v>
      </c>
      <c r="T8" s="55"/>
    </row>
    <row r="9" ht="15.75" spans="1:20">
      <c r="A9" s="5">
        <v>7</v>
      </c>
      <c r="B9" s="10"/>
      <c r="C9" s="70" t="s">
        <v>67</v>
      </c>
      <c r="D9" s="71" t="s">
        <v>68</v>
      </c>
      <c r="E9" s="71" t="s">
        <v>62</v>
      </c>
      <c r="F9" s="72" t="s">
        <v>69</v>
      </c>
      <c r="G9" s="71" t="s">
        <v>56</v>
      </c>
      <c r="H9" s="14" t="s">
        <v>70</v>
      </c>
      <c r="I9" s="71" t="s">
        <v>28</v>
      </c>
      <c r="J9" s="71" t="s">
        <v>71</v>
      </c>
      <c r="K9" s="12">
        <v>1</v>
      </c>
      <c r="L9" s="12">
        <v>100</v>
      </c>
      <c r="M9" s="34">
        <f t="shared" si="2"/>
        <v>5</v>
      </c>
      <c r="N9" s="43" t="s">
        <v>30</v>
      </c>
      <c r="O9" s="36">
        <v>0.0016</v>
      </c>
      <c r="P9" s="37">
        <f t="shared" si="0"/>
        <v>0.0016</v>
      </c>
      <c r="Q9" s="37">
        <f t="shared" si="1"/>
        <v>0.16</v>
      </c>
      <c r="R9" s="36">
        <v>0.0016</v>
      </c>
      <c r="S9" s="56">
        <f t="shared" si="3"/>
        <v>0.008</v>
      </c>
      <c r="T9" s="57"/>
    </row>
    <row r="10" ht="15.75" spans="1:20">
      <c r="A10" s="5">
        <v>8</v>
      </c>
      <c r="B10" s="16"/>
      <c r="C10" s="74" t="s">
        <v>72</v>
      </c>
      <c r="D10" s="75" t="s">
        <v>73</v>
      </c>
      <c r="E10" s="75" t="s">
        <v>62</v>
      </c>
      <c r="F10" s="76" t="s">
        <v>74</v>
      </c>
      <c r="G10" s="75" t="s">
        <v>64</v>
      </c>
      <c r="H10" s="20" t="s">
        <v>75</v>
      </c>
      <c r="I10" s="20" t="s">
        <v>76</v>
      </c>
      <c r="J10" s="75" t="s">
        <v>77</v>
      </c>
      <c r="K10" s="18">
        <v>2</v>
      </c>
      <c r="L10" s="18">
        <v>100</v>
      </c>
      <c r="M10" s="38">
        <f t="shared" si="2"/>
        <v>10</v>
      </c>
      <c r="N10" s="39" t="s">
        <v>30</v>
      </c>
      <c r="O10" s="40">
        <v>0.0022</v>
      </c>
      <c r="P10" s="41">
        <f>O10*L10</f>
        <v>0.22</v>
      </c>
      <c r="Q10" s="41">
        <f t="shared" si="1"/>
        <v>0.22</v>
      </c>
      <c r="R10" s="40">
        <v>0.0022</v>
      </c>
      <c r="S10" s="58">
        <f t="shared" si="3"/>
        <v>0.022</v>
      </c>
      <c r="T10" s="59"/>
    </row>
    <row r="11" ht="15.75" spans="1:20">
      <c r="A11" s="5">
        <v>9</v>
      </c>
      <c r="B11" s="6" t="s">
        <v>78</v>
      </c>
      <c r="C11" s="79" t="s">
        <v>79</v>
      </c>
      <c r="D11" s="80" t="s">
        <v>80</v>
      </c>
      <c r="E11" s="80" t="s">
        <v>81</v>
      </c>
      <c r="F11" s="80" t="s">
        <v>82</v>
      </c>
      <c r="G11" s="80" t="s">
        <v>28</v>
      </c>
      <c r="H11" s="23"/>
      <c r="I11" s="80" t="s">
        <v>28</v>
      </c>
      <c r="J11" s="80" t="s">
        <v>83</v>
      </c>
      <c r="K11" s="23">
        <v>1</v>
      </c>
      <c r="L11" s="23">
        <v>5</v>
      </c>
      <c r="M11" s="23">
        <f t="shared" si="2"/>
        <v>5</v>
      </c>
      <c r="N11" s="44" t="s">
        <v>84</v>
      </c>
      <c r="O11" s="45">
        <v>1.01</v>
      </c>
      <c r="P11" s="45">
        <f t="shared" si="0"/>
        <v>1.01</v>
      </c>
      <c r="Q11" s="45">
        <f t="shared" si="1"/>
        <v>5.05</v>
      </c>
      <c r="R11" s="45">
        <v>1.01</v>
      </c>
      <c r="S11" s="45">
        <f t="shared" si="3"/>
        <v>5.05</v>
      </c>
      <c r="T11" s="60"/>
    </row>
    <row r="12" ht="15.75" spans="1:20">
      <c r="A12" s="5">
        <v>10</v>
      </c>
      <c r="B12" s="16"/>
      <c r="C12" s="81" t="s">
        <v>85</v>
      </c>
      <c r="D12" s="82" t="s">
        <v>86</v>
      </c>
      <c r="E12" s="82" t="s">
        <v>81</v>
      </c>
      <c r="F12" s="82" t="s">
        <v>87</v>
      </c>
      <c r="G12" s="82" t="s">
        <v>28</v>
      </c>
      <c r="H12" s="25"/>
      <c r="I12" s="82" t="s">
        <v>28</v>
      </c>
      <c r="J12" s="82" t="s">
        <v>83</v>
      </c>
      <c r="K12" s="25">
        <v>1</v>
      </c>
      <c r="L12" s="25">
        <v>5</v>
      </c>
      <c r="M12" s="25">
        <f t="shared" si="2"/>
        <v>5</v>
      </c>
      <c r="N12" s="46" t="s">
        <v>84</v>
      </c>
      <c r="O12" s="47">
        <v>0.7</v>
      </c>
      <c r="P12" s="47">
        <f t="shared" si="0"/>
        <v>0.7</v>
      </c>
      <c r="Q12" s="47">
        <f t="shared" si="1"/>
        <v>3.5</v>
      </c>
      <c r="R12" s="47">
        <v>0.7</v>
      </c>
      <c r="S12" s="47">
        <f t="shared" si="3"/>
        <v>3.5</v>
      </c>
      <c r="T12" s="61" t="s">
        <v>88</v>
      </c>
    </row>
    <row r="13" ht="15.75" spans="1:20">
      <c r="A13" s="5">
        <v>11</v>
      </c>
      <c r="B13" s="6" t="s">
        <v>89</v>
      </c>
      <c r="C13" s="67" t="s">
        <v>90</v>
      </c>
      <c r="D13" s="68" t="s">
        <v>91</v>
      </c>
      <c r="E13" s="68" t="s">
        <v>92</v>
      </c>
      <c r="F13" s="68" t="s">
        <v>93</v>
      </c>
      <c r="G13" s="68" t="s">
        <v>94</v>
      </c>
      <c r="H13" s="9" t="s">
        <v>95</v>
      </c>
      <c r="I13" s="68" t="s">
        <v>28</v>
      </c>
      <c r="J13" s="68" t="s">
        <v>83</v>
      </c>
      <c r="K13" s="8">
        <v>1</v>
      </c>
      <c r="L13" s="8">
        <v>7</v>
      </c>
      <c r="M13" s="30">
        <f t="shared" si="2"/>
        <v>5</v>
      </c>
      <c r="N13" s="42" t="s">
        <v>30</v>
      </c>
      <c r="O13" s="32">
        <v>2.5355</v>
      </c>
      <c r="P13" s="33">
        <f t="shared" si="0"/>
        <v>2.5355</v>
      </c>
      <c r="Q13" s="33">
        <f t="shared" si="1"/>
        <v>17.7485</v>
      </c>
      <c r="R13" s="33">
        <v>2.5355</v>
      </c>
      <c r="S13" s="54">
        <f t="shared" si="3"/>
        <v>12.6775</v>
      </c>
      <c r="T13" s="62"/>
    </row>
    <row r="14" ht="15.75" spans="1:20">
      <c r="A14" s="5">
        <v>12</v>
      </c>
      <c r="B14" s="16"/>
      <c r="C14" s="83" t="s">
        <v>96</v>
      </c>
      <c r="D14" s="84" t="s">
        <v>97</v>
      </c>
      <c r="E14" s="84" t="s">
        <v>92</v>
      </c>
      <c r="F14" s="84" t="s">
        <v>98</v>
      </c>
      <c r="G14" s="84" t="s">
        <v>28</v>
      </c>
      <c r="H14" s="27"/>
      <c r="I14" s="84" t="s">
        <v>28</v>
      </c>
      <c r="J14" s="84" t="s">
        <v>28</v>
      </c>
      <c r="K14" s="27">
        <v>1</v>
      </c>
      <c r="L14" s="27"/>
      <c r="M14" s="27">
        <f t="shared" si="2"/>
        <v>5</v>
      </c>
      <c r="N14" s="84" t="s">
        <v>28</v>
      </c>
      <c r="O14" s="84" t="s">
        <v>28</v>
      </c>
      <c r="P14" s="84" t="s">
        <v>28</v>
      </c>
      <c r="Q14" s="27"/>
      <c r="R14" s="27"/>
      <c r="S14" s="84" t="s">
        <v>28</v>
      </c>
      <c r="T14" s="63" t="s">
        <v>99</v>
      </c>
    </row>
    <row r="15" ht="19.5" spans="1:20">
      <c r="A15" s="28"/>
      <c r="B15" s="28"/>
      <c r="C15" s="29"/>
      <c r="D15" s="28"/>
      <c r="E15" s="28"/>
      <c r="F15" s="28"/>
      <c r="G15" s="28"/>
      <c r="H15" s="28"/>
      <c r="I15" s="28"/>
      <c r="J15" s="48"/>
      <c r="K15" s="49" t="s">
        <v>100</v>
      </c>
      <c r="L15" s="49"/>
      <c r="M15" s="49"/>
      <c r="N15" s="49"/>
      <c r="O15" s="49"/>
      <c r="P15" s="50"/>
      <c r="Q15" s="50">
        <f>SUM(Q3:Q13)</f>
        <v>29.0075</v>
      </c>
      <c r="R15" s="28"/>
      <c r="S15" s="64">
        <f>SUM(S3:S13)</f>
        <v>23.18</v>
      </c>
      <c r="T15" s="28"/>
    </row>
    <row r="16" ht="18.75" spans="1:20">
      <c r="A16" s="28"/>
      <c r="B16" s="28"/>
      <c r="C16" s="29"/>
      <c r="D16" s="28"/>
      <c r="E16" s="28"/>
      <c r="F16" s="28"/>
      <c r="G16" s="28"/>
      <c r="H16" s="28"/>
      <c r="I16" s="28"/>
      <c r="J16" s="48"/>
      <c r="K16" s="51" t="s">
        <v>101</v>
      </c>
      <c r="L16" s="51"/>
      <c r="M16" s="51"/>
      <c r="N16" s="51"/>
      <c r="O16" s="51"/>
      <c r="P16" s="52">
        <f>SUM(P3:P13)</f>
        <v>5.3431</v>
      </c>
      <c r="Q16" s="65"/>
      <c r="R16" s="28"/>
      <c r="S16" s="66">
        <f>S15/5</f>
        <v>4.636</v>
      </c>
      <c r="T16" s="28"/>
    </row>
  </sheetData>
  <mergeCells count="7">
    <mergeCell ref="A1:T1"/>
    <mergeCell ref="K15:O15"/>
    <mergeCell ref="K16:O16"/>
    <mergeCell ref="B3:B7"/>
    <mergeCell ref="B8:B10"/>
    <mergeCell ref="B11:B12"/>
    <mergeCell ref="B13:B14"/>
  </mergeCells>
  <conditionalFormatting sqref="P16:Q1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{347b69da-bb67-452d-a283-4673fe5df1cd}</x14:id>
        </ext>
      </extLst>
    </cfRule>
  </conditionalFormatting>
  <conditionalFormatting sqref="M3:M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{d7f6b7c0-a146-4db8-a500-c9fe787c2788}</x14:id>
        </ext>
      </extLst>
    </cfRule>
  </conditionalFormatting>
  <conditionalFormatting sqref="S3:S1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{2c156d80-f61d-429c-8bc2-faecc7246d7a}</x14:id>
        </ext>
      </extLst>
    </cfRule>
  </conditionalFormatting>
  <conditionalFormatting sqref="T11:T12 T14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{ba5296cf-52a4-4d5e-9e99-8df06b63a97c}</x14:id>
        </ext>
      </extLst>
    </cfRule>
  </conditionalFormatting>
  <hyperlinks>
    <hyperlink ref="N7" r:id="rId1" display="LCSC"/>
    <hyperlink ref="N8" r:id="rId2" display="LCSC"/>
    <hyperlink ref="N9" r:id="rId3" display="LCSC"/>
    <hyperlink ref="N10" r:id="rId4" display="LCSC"/>
    <hyperlink ref="N11" r:id="rId5" display="AliE"/>
    <hyperlink ref="N12" r:id="rId6" display="AliE"/>
    <hyperlink ref="N13" r:id="rId7" display="LCSC"/>
    <hyperlink ref="N3" r:id="rId8" display="LCSC"/>
    <hyperlink ref="N4" r:id="rId9" display="LCSC"/>
    <hyperlink ref="N5" r:id="rId10" display="LCSC"/>
    <hyperlink ref="N6" r:id="rId11" display="LCSC"/>
  </hyperlink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b69da-bb67-452d-a283-4673fe5df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P16:Q16</xm:sqref>
        </x14:conditionalFormatting>
        <x14:conditionalFormatting xmlns:xm="http://schemas.microsoft.com/office/excel/2006/main">
          <x14:cfRule type="dataBar" id="{d7f6b7c0-a146-4db8-a500-c9fe787c27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P3:P13</xm:sqref>
        </x14:conditionalFormatting>
        <x14:conditionalFormatting xmlns:xm="http://schemas.microsoft.com/office/excel/2006/main">
          <x14:cfRule type="dataBar" id="{2c156d80-f61d-429c-8bc2-faecc7246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S3:S13</xm:sqref>
        </x14:conditionalFormatting>
        <x14:conditionalFormatting xmlns:xm="http://schemas.microsoft.com/office/excel/2006/main">
          <x14:cfRule type="dataBar" id="{ba5296cf-52a4-4d5e-9e99-8df06b63a9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T11:T12 T14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eSpark-35</cp:lastModifiedBy>
  <dcterms:created xsi:type="dcterms:W3CDTF">2021-03-12T10:24:00Z</dcterms:created>
  <dcterms:modified xsi:type="dcterms:W3CDTF">2021-09-10T11:24:04Z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2B5FA023C0464BB5875F8C48DE970E2E</vt:lpwstr>
  </property>
  <property fmtid="{D5CDD505-2E9C-101B-9397-08002B2CF9AE}" pid="3" name="KSOProductBuildVer">
    <vt:lpwstr>1033-11.2.0.10265</vt:lpwstr>
  </property>
</Properties>
</file>