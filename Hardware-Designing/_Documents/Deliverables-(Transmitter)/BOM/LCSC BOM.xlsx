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Martin bom (1)\Martin bom\Transmitter\"/>
    </mc:Choice>
  </mc:AlternateContent>
  <xr:revisionPtr revIDLastSave="0" documentId="13_ncr:1_{F594EC22-2005-44A1-A5DB-76A72185BD2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S12" i="1"/>
  <c r="S3" i="1"/>
  <c r="Q3" i="1"/>
  <c r="P3" i="1"/>
  <c r="Q4" i="1"/>
  <c r="Q5" i="1"/>
  <c r="Q6" i="1"/>
  <c r="Q7" i="1"/>
  <c r="Q8" i="1"/>
  <c r="Q9" i="1"/>
  <c r="Q10" i="1"/>
  <c r="Q11" i="1"/>
  <c r="Q13" i="1"/>
  <c r="P4" i="1"/>
  <c r="P5" i="1"/>
  <c r="P6" i="1"/>
  <c r="P7" i="1"/>
  <c r="P8" i="1"/>
  <c r="P9" i="1"/>
  <c r="P10" i="1"/>
  <c r="P11" i="1"/>
  <c r="P16" i="1" s="1"/>
  <c r="P12" i="1"/>
  <c r="P13" i="1"/>
  <c r="M14" i="1" l="1"/>
  <c r="M13" i="1"/>
  <c r="S13" i="1" s="1"/>
  <c r="M12" i="1"/>
  <c r="M11" i="1"/>
  <c r="S11" i="1" s="1"/>
  <c r="S15" i="1" s="1"/>
  <c r="S16" i="1" s="1"/>
  <c r="M10" i="1"/>
  <c r="S10" i="1" s="1"/>
  <c r="M9" i="1"/>
  <c r="S9" i="1" s="1"/>
  <c r="M8" i="1"/>
  <c r="S8" i="1" s="1"/>
  <c r="M7" i="1"/>
  <c r="S7" i="1" s="1"/>
  <c r="M6" i="1"/>
  <c r="S6" i="1" s="1"/>
  <c r="M5" i="1"/>
  <c r="M4" i="1"/>
  <c r="S4" i="1" s="1"/>
  <c r="M3" i="1"/>
  <c r="S5" i="1" l="1"/>
</calcChain>
</file>

<file path=xl/sharedStrings.xml><?xml version="1.0" encoding="utf-8"?>
<sst xmlns="http://schemas.openxmlformats.org/spreadsheetml/2006/main" count="146" uniqueCount="108">
  <si>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</si>
  <si>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</si>
  <si>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</si>
  <si>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</si>
  <si>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</si>
  <si>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</si>
  <si>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</si>
  <si>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</si>
  <si>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</si>
  <si>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</si>
  <si>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</si>
  <si>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</si>
  <si>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</si>
  <si>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</si>
  <si>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</si>
  <si>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</si>
  <si>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>Capacitors</t>
  </si>
  <si>
    <t>CAP CER 120PF 50V C0G/NP0 0201</t>
  </si>
  <si>
    <t>C1</t>
  </si>
  <si>
    <t>Cap0201</t>
  </si>
  <si>
    <t>GRM0335C1H121JA01D</t>
  </si>
  <si>
    <t>Murata</t>
  </si>
  <si>
    <t>-------------</t>
  </si>
  <si>
    <t>120pF</t>
  </si>
  <si>
    <t>CAP CER 47UF 16V X5R 1206</t>
  </si>
  <si>
    <t>C2</t>
  </si>
  <si>
    <t>Cap1206</t>
  </si>
  <si>
    <t>EMK316BBJ476ML-T</t>
  </si>
  <si>
    <t>Taiyo Yuden</t>
  </si>
  <si>
    <t>47uF</t>
  </si>
  <si>
    <t>CAP CER 1500PF 25V X7R 0201</t>
  </si>
  <si>
    <t>C3</t>
  </si>
  <si>
    <t>CC0201KRX7R8BB152</t>
  </si>
  <si>
    <t>Yageo</t>
  </si>
  <si>
    <t>1500pF</t>
  </si>
  <si>
    <t>CAP CER 0.1UF 35V X5R 0201</t>
  </si>
  <si>
    <t>C5</t>
  </si>
  <si>
    <t>CAP 0201</t>
  </si>
  <si>
    <t>GRM033R6YA104ME14D</t>
  </si>
  <si>
    <t>0.1uF</t>
  </si>
  <si>
    <t>CAP CER 1UF 10V X5R 0402</t>
  </si>
  <si>
    <t>C6</t>
  </si>
  <si>
    <t>Cap0402</t>
  </si>
  <si>
    <t>CC0402KRX5R6BB105</t>
  </si>
  <si>
    <t>1uF</t>
  </si>
  <si>
    <t>Resistors</t>
  </si>
  <si>
    <t>RES SMD 47K OHM 5% 1/20W 0201</t>
  </si>
  <si>
    <t>R1, R2</t>
  </si>
  <si>
    <t>Res-0201</t>
  </si>
  <si>
    <t>ERJ-1GNJ473C</t>
  </si>
  <si>
    <t>Panasonic</t>
  </si>
  <si>
    <t>47K</t>
  </si>
  <si>
    <t>RES SMD 9.1K OHM 5% 1/20W 0201</t>
  </si>
  <si>
    <t>R3</t>
  </si>
  <si>
    <t>RC0201JR-079K1L</t>
  </si>
  <si>
    <t>9.1K</t>
  </si>
  <si>
    <t>RES SMD 5.23K OHM 1% 1/20W 0201</t>
  </si>
  <si>
    <t>R4, R5</t>
  </si>
  <si>
    <t>ERJ-1GNF5231C</t>
  </si>
  <si>
    <t>5.23K</t>
  </si>
  <si>
    <t>Ics</t>
  </si>
  <si>
    <t>1.5AUSB power chip wireless wireless charging</t>
  </si>
  <si>
    <t>U1</t>
  </si>
  <si>
    <t>SOP-8</t>
  </si>
  <si>
    <t>XKT-412</t>
  </si>
  <si>
    <t>-----------</t>
  </si>
  <si>
    <t>high current power charging wireless IC chip</t>
  </si>
  <si>
    <t>U2</t>
  </si>
  <si>
    <t>XKT-335</t>
  </si>
  <si>
    <t>CONN RCP USB3.1 TYPEC 24P SMD RA</t>
  </si>
  <si>
    <t>J2</t>
  </si>
  <si>
    <t>Custom</t>
  </si>
  <si>
    <t>2305018-2</t>
  </si>
  <si>
    <t>TE Connectivity</t>
  </si>
  <si>
    <t>-----------------</t>
  </si>
  <si>
    <t>J1</t>
  </si>
  <si>
    <t>SMD PAD</t>
  </si>
  <si>
    <t>DO NOT Mount</t>
  </si>
  <si>
    <t xml:space="preserve">Total Component Cost </t>
  </si>
  <si>
    <t>Single Board Cost</t>
  </si>
  <si>
    <t>Bill of Material (BOM) for  Martin Transmitter</t>
  </si>
  <si>
    <t>LCSC Link</t>
  </si>
  <si>
    <t>MOQ Total</t>
  </si>
  <si>
    <t>LCSC</t>
  </si>
  <si>
    <t>In Stock: 20250</t>
  </si>
  <si>
    <t>In Stock: 22010</t>
  </si>
  <si>
    <t>LCSC Part no:</t>
  </si>
  <si>
    <t>C385907</t>
  </si>
  <si>
    <t>C161406</t>
  </si>
  <si>
    <t>C505482</t>
  </si>
  <si>
    <t>In Stock: 24100</t>
  </si>
  <si>
    <t>C181044</t>
  </si>
  <si>
    <t>In Stock: 6950</t>
  </si>
  <si>
    <t>C106254</t>
  </si>
  <si>
    <t>In Stock: 1258200</t>
  </si>
  <si>
    <t>C713503</t>
  </si>
  <si>
    <t>In Stock: 14650</t>
  </si>
  <si>
    <t>C295871</t>
  </si>
  <si>
    <t>RTT015231FTH</t>
  </si>
  <si>
    <t>C332546</t>
  </si>
  <si>
    <t>In Stock: 7500</t>
  </si>
  <si>
    <t>In Stock: 8200</t>
  </si>
  <si>
    <t>AliE</t>
  </si>
  <si>
    <t>C498674</t>
  </si>
  <si>
    <t>In Stock: 432</t>
  </si>
  <si>
    <t>Connectors</t>
  </si>
  <si>
    <t>Total MOQ</t>
  </si>
  <si>
    <t>available 5 pieces per lot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</si>
</sst>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&quot;$&quot;#,##0.00000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3" fillId="0" borderId="8" xfId="0" quotePrefix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8" xfId="2" applyBorder="1" applyAlignment="1" applyProtection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2" xfId="0" quotePrefix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0" borderId="8" xfId="2" applyFont="1" applyBorder="1" applyAlignment="1" applyProtection="1">
      <alignment horizontal="center" vertical="center"/>
    </xf>
    <xf numFmtId="0" fontId="4" fillId="0" borderId="12" xfId="2" applyFont="1" applyBorder="1" applyAlignment="1" applyProtection="1">
      <alignment horizontal="center" vertical="center"/>
    </xf>
    <xf numFmtId="164" fontId="9" fillId="4" borderId="0" xfId="0" applyNumberFormat="1" applyFont="1" applyFill="1" applyBorder="1" applyAlignment="1">
      <alignment horizontal="left"/>
    </xf>
    <xf numFmtId="164" fontId="9" fillId="4" borderId="16" xfId="0" applyNumberFormat="1" applyFont="1" applyFill="1" applyBorder="1" applyAlignment="1">
      <alignment horizontal="center"/>
    </xf>
    <xf numFmtId="164" fontId="9" fillId="4" borderId="0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left" vertical="center"/>
    </xf>
    <xf numFmtId="0" fontId="3" fillId="4" borderId="8" xfId="0" quotePrefix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2" xfId="0" quotePrefix="1" applyFont="1" applyFill="1" applyBorder="1" applyAlignment="1">
      <alignment horizontal="center" vertical="center"/>
    </xf>
    <xf numFmtId="0" fontId="3" fillId="0" borderId="14" xfId="0" quotePrefix="1" applyFont="1" applyBorder="1" applyAlignment="1">
      <alignment horizontal="center" vertical="center"/>
    </xf>
    <xf numFmtId="0" fontId="0" fillId="0" borderId="0" xfId="0" applyFont="1" applyAlignment="1"/>
    <xf numFmtId="164" fontId="9" fillId="4" borderId="0" xfId="0" applyNumberFormat="1" applyFont="1" applyFill="1" applyBorder="1" applyAlignment="1"/>
    <xf numFmtId="164" fontId="10" fillId="4" borderId="0" xfId="0" applyNumberFormat="1" applyFont="1" applyFill="1" applyAlignment="1"/>
    <xf numFmtId="164" fontId="9" fillId="4" borderId="0" xfId="0" applyNumberFormat="1" applyFont="1" applyFill="1" applyAlignment="1"/>
    <xf numFmtId="164" fontId="1" fillId="2" borderId="0" xfId="1" applyNumberFormat="1" applyFont="1" applyBorder="1" applyAlignment="1"/>
    <xf numFmtId="165" fontId="3" fillId="0" borderId="8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65" fontId="3" fillId="0" borderId="8" xfId="0" applyNumberFormat="1" applyFont="1" applyFill="1" applyBorder="1" applyAlignment="1">
      <alignment horizontal="center" vertical="center"/>
    </xf>
    <xf numFmtId="165" fontId="11" fillId="0" borderId="9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165" fontId="11" fillId="0" borderId="13" xfId="0" applyNumberFormat="1" applyFont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/>
    </xf>
    <xf numFmtId="0" fontId="3" fillId="4" borderId="14" xfId="0" quotePrefix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3" fillId="0" borderId="14" xfId="0" quotePrefix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4" fillId="0" borderId="14" xfId="2" applyFont="1" applyBorder="1" applyAlignment="1" applyProtection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3" fillId="0" borderId="14" xfId="0" applyNumberFormat="1" applyFont="1" applyFill="1" applyBorder="1" applyAlignment="1">
      <alignment horizontal="center" vertical="center"/>
    </xf>
    <xf numFmtId="165" fontId="11" fillId="0" borderId="22" xfId="0" applyNumberFormat="1" applyFont="1" applyBorder="1" applyAlignment="1">
      <alignment horizontal="left" vertical="center"/>
    </xf>
    <xf numFmtId="0" fontId="5" fillId="5" borderId="21" xfId="0" quotePrefix="1" applyFont="1" applyFill="1" applyBorder="1" applyAlignment="1">
      <alignment horizontal="center" vertical="center"/>
    </xf>
    <xf numFmtId="0" fontId="5" fillId="5" borderId="14" xfId="0" quotePrefix="1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165" fontId="11" fillId="0" borderId="9" xfId="0" applyNumberFormat="1" applyFont="1" applyBorder="1" applyAlignment="1">
      <alignment horizontal="left" vertical="center" wrapText="1" indent="1"/>
    </xf>
    <xf numFmtId="164" fontId="6" fillId="5" borderId="22" xfId="0" applyNumberFormat="1" applyFont="1" applyFill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/>
    </xf>
    <xf numFmtId="0" fontId="3" fillId="5" borderId="7" xfId="0" quotePrefix="1" applyFont="1" applyFill="1" applyBorder="1" applyAlignment="1">
      <alignment horizontal="left" vertical="center"/>
    </xf>
    <xf numFmtId="0" fontId="3" fillId="5" borderId="8" xfId="0" quotePrefix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4" fillId="5" borderId="8" xfId="2" applyFill="1" applyBorder="1" applyAlignment="1" applyProtection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/>
    </xf>
    <xf numFmtId="0" fontId="3" fillId="5" borderId="21" xfId="0" quotePrefix="1" applyFont="1" applyFill="1" applyBorder="1" applyAlignment="1">
      <alignment horizontal="left" vertical="center"/>
    </xf>
    <xf numFmtId="0" fontId="3" fillId="5" borderId="14" xfId="0" quotePrefix="1" applyFont="1" applyFill="1" applyBorder="1" applyAlignment="1">
      <alignment horizontal="center" vertical="center"/>
    </xf>
    <xf numFmtId="0" fontId="3" fillId="5" borderId="23" xfId="0" quotePrefix="1" applyFont="1" applyFill="1" applyBorder="1" applyAlignment="1">
      <alignment horizontal="center" vertical="center"/>
    </xf>
    <xf numFmtId="0" fontId="3" fillId="5" borderId="24" xfId="0" quotePrefix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4" fillId="5" borderId="14" xfId="2" applyFill="1" applyBorder="1" applyAlignment="1" applyProtection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22" xfId="0" applyNumberFormat="1" applyFont="1" applyFill="1" applyBorder="1" applyAlignment="1">
      <alignment horizontal="center" vertic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Others_RALEC-RTT015231FTH_C332546.html" TargetMode="External"/><Relationship Id="rId3" Type="http://schemas.openxmlformats.org/officeDocument/2006/relationships/hyperlink" Target="https://lcsc.com/product-detail/Multilayer-Ceramic-Capacitors-MLCC-SMD-SMT_YAGEO-CC0201KRX7R8BB152_C505482.html" TargetMode="External"/><Relationship Id="rId7" Type="http://schemas.openxmlformats.org/officeDocument/2006/relationships/hyperlink" Target="https://lcsc.com/product-detail/Chip-Resistor-Surface-Mount_YAGEO-RC0201JR-079K1L_C295871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Multilayer-Ceramic-Capacitors-MLCC-SMD-SMT_Taiyo-Yuden-EMK316BBJ476ML-T_C385907.html" TargetMode="External"/><Relationship Id="rId1" Type="http://schemas.openxmlformats.org/officeDocument/2006/relationships/hyperlink" Target="https://lcsc.com/product-detail/Multilayer-Ceramic-Capacitors-MLCC-SMD-SMT_Murata-Electronics-GRM0335C1H121JA01D_C161406.html" TargetMode="External"/><Relationship Id="rId6" Type="http://schemas.openxmlformats.org/officeDocument/2006/relationships/hyperlink" Target="https://lcsc.com/product-detail/Chip-Resistor-Surface-Mount_PANASONIC-ERJ1GNJ473C_C713503.html" TargetMode="External"/><Relationship Id="rId11" Type="http://schemas.openxmlformats.org/officeDocument/2006/relationships/hyperlink" Target="https://lcsc.com/product-detail/USB-Connectors_TE-Connectivity-2305018-2_C498674.html" TargetMode="External"/><Relationship Id="rId5" Type="http://schemas.openxmlformats.org/officeDocument/2006/relationships/hyperlink" Target="https://lcsc.com/product-detail/Multilayer-Ceramic-Capacitors-MLCC-SMD-SMT_YAGEO-CC0402KRX5R6BB105_C106254.html" TargetMode="External"/><Relationship Id="rId10" Type="http://schemas.openxmlformats.org/officeDocument/2006/relationships/hyperlink" Target="https://www.aliexpress.com/item/33018383643.html?spm=a2g0o.productlist.0.0.77fe52adQb6CDt&amp;algo_pvid=c7f128d6-a4bd-46b9-add2-00e04c3358ad&amp;algo_expid=c7f128d6-a4bd-46b9-add2-00e04c3358ad-0&amp;btsid=0bb0623016145410986685064ef48a&amp;ws_ab_test=searchweb0_0,searchw" TargetMode="External"/><Relationship Id="rId4" Type="http://schemas.openxmlformats.org/officeDocument/2006/relationships/hyperlink" Target="https://lcsc.com/product-detail/Multilayer-Ceramic-Capacitors-MLCC-SMD-SMT_Murata-Electronics-GRM033R6YA104ME14D_C181044.html" TargetMode="External"/><Relationship Id="rId9" Type="http://schemas.openxmlformats.org/officeDocument/2006/relationships/hyperlink" Target="https://www.aliexpress.com/item/40001896869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F11" sqref="F11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38.85546875" bestFit="1" customWidth="1"/>
    <col min="4" max="4" width="11.5703125" bestFit="1" customWidth="1"/>
    <col min="5" max="5" width="20.5703125" bestFit="1" customWidth="1"/>
    <col min="6" max="6" width="28.42578125" bestFit="1" customWidth="1"/>
    <col min="7" max="7" width="14.7109375" bestFit="1" customWidth="1"/>
    <col min="8" max="8" width="14.7109375" customWidth="1"/>
    <col min="9" max="9" width="17.7109375" bestFit="1" customWidth="1"/>
    <col min="11" max="11" width="21.85546875" bestFit="1" customWidth="1"/>
    <col min="12" max="12" width="14.28515625" customWidth="1"/>
    <col min="13" max="13" width="11.42578125" bestFit="1" customWidth="1"/>
    <col min="14" max="14" width="12.85546875" bestFit="1" customWidth="1"/>
    <col min="15" max="15" width="12.42578125" bestFit="1" customWidth="1"/>
    <col min="16" max="16" width="13.42578125" bestFit="1" customWidth="1"/>
    <col min="17" max="17" width="13.42578125" customWidth="1"/>
    <col min="18" max="18" width="20.5703125" bestFit="1" customWidth="1"/>
    <col min="19" max="19" width="14" bestFit="1" customWidth="1"/>
    <col min="20" max="20" width="24.7109375" bestFit="1" customWidth="1"/>
  </cols>
  <sheetData>
    <row r="1" spans="1:20" ht="16.5" thickBot="1" x14ac:dyDescent="0.3">
      <c r="A1" s="60" t="s">
        <v>80</v>
      </c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  <c r="R1" s="64"/>
      <c r="S1" s="10"/>
      <c r="T1" s="11"/>
    </row>
    <row r="2" spans="1:20" ht="16.5" thickBot="1" x14ac:dyDescent="0.3">
      <c r="A2" s="12" t="s">
        <v>0</v>
      </c>
      <c r="B2" s="34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86</v>
      </c>
      <c r="I2" s="31" t="s">
        <v>7</v>
      </c>
      <c r="J2" s="31" t="s">
        <v>8</v>
      </c>
      <c r="K2" s="31" t="s">
        <v>9</v>
      </c>
      <c r="L2" s="31" t="s">
        <v>106</v>
      </c>
      <c r="M2" s="31" t="s">
        <v>10</v>
      </c>
      <c r="N2" s="35" t="s">
        <v>81</v>
      </c>
      <c r="O2" s="31" t="s">
        <v>11</v>
      </c>
      <c r="P2" s="31" t="s">
        <v>12</v>
      </c>
      <c r="Q2" s="31" t="s">
        <v>82</v>
      </c>
      <c r="R2" s="31" t="s">
        <v>13</v>
      </c>
      <c r="S2" s="32" t="s">
        <v>14</v>
      </c>
      <c r="T2" s="31" t="s">
        <v>15</v>
      </c>
    </row>
    <row r="3" spans="1:20" ht="15.75" thickBot="1" x14ac:dyDescent="0.3">
      <c r="A3" s="13">
        <v>1</v>
      </c>
      <c r="B3" s="65" t="s">
        <v>16</v>
      </c>
      <c r="C3" s="19" t="s">
        <v>17</v>
      </c>
      <c r="D3" s="8" t="s">
        <v>18</v>
      </c>
      <c r="E3" s="8" t="s">
        <v>19</v>
      </c>
      <c r="F3" s="20" t="s">
        <v>20</v>
      </c>
      <c r="G3" s="8" t="s">
        <v>21</v>
      </c>
      <c r="H3" s="36" t="s">
        <v>88</v>
      </c>
      <c r="I3" s="1" t="s">
        <v>22</v>
      </c>
      <c r="J3" s="8" t="s">
        <v>23</v>
      </c>
      <c r="K3" s="21">
        <v>1</v>
      </c>
      <c r="L3" s="21">
        <v>50</v>
      </c>
      <c r="M3" s="2">
        <f>K3*5</f>
        <v>5</v>
      </c>
      <c r="N3" s="14" t="s">
        <v>83</v>
      </c>
      <c r="O3" s="56">
        <v>4.5999999999999999E-3</v>
      </c>
      <c r="P3" s="29">
        <f>O3*K3</f>
        <v>4.5999999999999999E-3</v>
      </c>
      <c r="Q3" s="29">
        <f>O3*L3</f>
        <v>0.22999999999999998</v>
      </c>
      <c r="R3" s="56">
        <v>4.5999999999999999E-3</v>
      </c>
      <c r="S3" s="37">
        <f>R3*M3</f>
        <v>2.3E-2</v>
      </c>
      <c r="T3" s="38" t="s">
        <v>84</v>
      </c>
    </row>
    <row r="4" spans="1:20" ht="15.75" thickBot="1" x14ac:dyDescent="0.3">
      <c r="A4" s="13">
        <v>2</v>
      </c>
      <c r="B4" s="66"/>
      <c r="C4" s="9" t="s">
        <v>24</v>
      </c>
      <c r="D4" s="4" t="s">
        <v>25</v>
      </c>
      <c r="E4" s="4" t="s">
        <v>26</v>
      </c>
      <c r="F4" s="20" t="s">
        <v>27</v>
      </c>
      <c r="G4" s="4" t="s">
        <v>28</v>
      </c>
      <c r="H4" s="39" t="s">
        <v>87</v>
      </c>
      <c r="I4" s="5" t="s">
        <v>22</v>
      </c>
      <c r="J4" s="4" t="s">
        <v>29</v>
      </c>
      <c r="K4" s="6">
        <v>1</v>
      </c>
      <c r="L4" s="6">
        <v>5</v>
      </c>
      <c r="M4" s="7">
        <f>K4*5</f>
        <v>5</v>
      </c>
      <c r="N4" s="15" t="s">
        <v>83</v>
      </c>
      <c r="O4" s="57">
        <v>0.29699999999999999</v>
      </c>
      <c r="P4" s="30">
        <f t="shared" ref="P4:P13" si="0">O4*K4</f>
        <v>0.29699999999999999</v>
      </c>
      <c r="Q4" s="30">
        <f t="shared" ref="Q4:Q13" si="1">O4*L4</f>
        <v>1.4849999999999999</v>
      </c>
      <c r="R4" s="57">
        <v>0.29699999999999999</v>
      </c>
      <c r="S4" s="33">
        <f t="shared" ref="S4:S13" si="2">R4*M4</f>
        <v>1.4849999999999999</v>
      </c>
      <c r="T4" s="40" t="s">
        <v>85</v>
      </c>
    </row>
    <row r="5" spans="1:20" ht="15.75" thickBot="1" x14ac:dyDescent="0.3">
      <c r="A5" s="13">
        <v>3</v>
      </c>
      <c r="B5" s="66"/>
      <c r="C5" s="9" t="s">
        <v>30</v>
      </c>
      <c r="D5" s="4" t="s">
        <v>31</v>
      </c>
      <c r="E5" s="4" t="s">
        <v>19</v>
      </c>
      <c r="F5" s="22" t="s">
        <v>32</v>
      </c>
      <c r="G5" s="4" t="s">
        <v>33</v>
      </c>
      <c r="H5" s="39" t="s">
        <v>89</v>
      </c>
      <c r="I5" s="5" t="s">
        <v>22</v>
      </c>
      <c r="J5" s="4" t="s">
        <v>34</v>
      </c>
      <c r="K5" s="6">
        <v>1</v>
      </c>
      <c r="L5" s="6">
        <v>100</v>
      </c>
      <c r="M5" s="7">
        <f t="shared" ref="M5:M14" si="3">K5*5</f>
        <v>5</v>
      </c>
      <c r="N5" s="15" t="s">
        <v>83</v>
      </c>
      <c r="O5" s="57">
        <v>2.7000000000000001E-3</v>
      </c>
      <c r="P5" s="30">
        <f t="shared" si="0"/>
        <v>2.7000000000000001E-3</v>
      </c>
      <c r="Q5" s="30">
        <f t="shared" si="1"/>
        <v>0.27</v>
      </c>
      <c r="R5" s="57">
        <v>2.7000000000000001E-3</v>
      </c>
      <c r="S5" s="33">
        <f t="shared" si="2"/>
        <v>1.3500000000000002E-2</v>
      </c>
      <c r="T5" s="40" t="s">
        <v>90</v>
      </c>
    </row>
    <row r="6" spans="1:20" ht="15.75" thickBot="1" x14ac:dyDescent="0.3">
      <c r="A6" s="13">
        <v>4</v>
      </c>
      <c r="B6" s="66"/>
      <c r="C6" s="9" t="s">
        <v>35</v>
      </c>
      <c r="D6" s="4" t="s">
        <v>36</v>
      </c>
      <c r="E6" s="4" t="s">
        <v>37</v>
      </c>
      <c r="F6" s="22" t="s">
        <v>38</v>
      </c>
      <c r="G6" s="4" t="s">
        <v>21</v>
      </c>
      <c r="H6" s="39" t="s">
        <v>91</v>
      </c>
      <c r="I6" s="5" t="s">
        <v>22</v>
      </c>
      <c r="J6" s="4" t="s">
        <v>39</v>
      </c>
      <c r="K6" s="6">
        <v>1</v>
      </c>
      <c r="L6" s="6">
        <v>50</v>
      </c>
      <c r="M6" s="7">
        <f>K6*5</f>
        <v>5</v>
      </c>
      <c r="N6" s="15" t="s">
        <v>83</v>
      </c>
      <c r="O6" s="57">
        <v>1.15E-2</v>
      </c>
      <c r="P6" s="30">
        <f t="shared" si="0"/>
        <v>1.15E-2</v>
      </c>
      <c r="Q6" s="30">
        <f t="shared" si="1"/>
        <v>0.57499999999999996</v>
      </c>
      <c r="R6" s="57">
        <v>1.15E-2</v>
      </c>
      <c r="S6" s="33">
        <f t="shared" si="2"/>
        <v>5.7499999999999996E-2</v>
      </c>
      <c r="T6" s="40" t="s">
        <v>92</v>
      </c>
    </row>
    <row r="7" spans="1:20" ht="15.75" thickBot="1" x14ac:dyDescent="0.3">
      <c r="A7" s="13">
        <v>5</v>
      </c>
      <c r="B7" s="67"/>
      <c r="C7" s="41" t="s">
        <v>40</v>
      </c>
      <c r="D7" s="23" t="s">
        <v>41</v>
      </c>
      <c r="E7" s="23" t="s">
        <v>42</v>
      </c>
      <c r="F7" s="42" t="s">
        <v>43</v>
      </c>
      <c r="G7" s="23" t="s">
        <v>33</v>
      </c>
      <c r="H7" s="43" t="s">
        <v>93</v>
      </c>
      <c r="I7" s="44" t="s">
        <v>22</v>
      </c>
      <c r="J7" s="23" t="s">
        <v>44</v>
      </c>
      <c r="K7" s="45">
        <v>1</v>
      </c>
      <c r="L7" s="45">
        <v>100</v>
      </c>
      <c r="M7" s="46">
        <f t="shared" si="3"/>
        <v>5</v>
      </c>
      <c r="N7" s="47" t="s">
        <v>83</v>
      </c>
      <c r="O7" s="58">
        <v>3.2000000000000002E-3</v>
      </c>
      <c r="P7" s="48">
        <f t="shared" si="0"/>
        <v>3.2000000000000002E-3</v>
      </c>
      <c r="Q7" s="48">
        <f t="shared" si="1"/>
        <v>0.32</v>
      </c>
      <c r="R7" s="58">
        <v>3.2000000000000002E-3</v>
      </c>
      <c r="S7" s="49">
        <f t="shared" si="2"/>
        <v>1.6E-2</v>
      </c>
      <c r="T7" s="50" t="s">
        <v>94</v>
      </c>
    </row>
    <row r="8" spans="1:20" ht="15.75" thickBot="1" x14ac:dyDescent="0.3">
      <c r="A8" s="13">
        <v>6</v>
      </c>
      <c r="B8" s="65" t="s">
        <v>45</v>
      </c>
      <c r="C8" s="19" t="s">
        <v>46</v>
      </c>
      <c r="D8" s="8" t="s">
        <v>47</v>
      </c>
      <c r="E8" s="8" t="s">
        <v>48</v>
      </c>
      <c r="F8" s="20" t="s">
        <v>49</v>
      </c>
      <c r="G8" s="8" t="s">
        <v>50</v>
      </c>
      <c r="H8" s="36" t="s">
        <v>95</v>
      </c>
      <c r="I8" s="8" t="s">
        <v>22</v>
      </c>
      <c r="J8" s="8" t="s">
        <v>51</v>
      </c>
      <c r="K8" s="21">
        <v>2</v>
      </c>
      <c r="L8" s="21">
        <v>50</v>
      </c>
      <c r="M8" s="2">
        <f t="shared" si="3"/>
        <v>10</v>
      </c>
      <c r="N8" s="14" t="s">
        <v>83</v>
      </c>
      <c r="O8" s="56">
        <v>6.3E-3</v>
      </c>
      <c r="P8" s="29">
        <f t="shared" si="0"/>
        <v>1.26E-2</v>
      </c>
      <c r="Q8" s="29">
        <f t="shared" si="1"/>
        <v>0.315</v>
      </c>
      <c r="R8" s="56">
        <v>6.3E-3</v>
      </c>
      <c r="S8" s="37">
        <f t="shared" si="2"/>
        <v>6.3E-2</v>
      </c>
      <c r="T8" s="38" t="s">
        <v>96</v>
      </c>
    </row>
    <row r="9" spans="1:20" ht="15.75" thickBot="1" x14ac:dyDescent="0.3">
      <c r="A9" s="13">
        <v>7</v>
      </c>
      <c r="B9" s="66"/>
      <c r="C9" s="9" t="s">
        <v>52</v>
      </c>
      <c r="D9" s="4" t="s">
        <v>53</v>
      </c>
      <c r="E9" s="4" t="s">
        <v>48</v>
      </c>
      <c r="F9" s="22" t="s">
        <v>54</v>
      </c>
      <c r="G9" s="4" t="s">
        <v>33</v>
      </c>
      <c r="H9" s="39" t="s">
        <v>97</v>
      </c>
      <c r="I9" s="4" t="s">
        <v>22</v>
      </c>
      <c r="J9" s="4" t="s">
        <v>55</v>
      </c>
      <c r="K9" s="6">
        <v>1</v>
      </c>
      <c r="L9" s="6">
        <v>100</v>
      </c>
      <c r="M9" s="7">
        <f t="shared" si="3"/>
        <v>5</v>
      </c>
      <c r="N9" s="15" t="s">
        <v>83</v>
      </c>
      <c r="O9" s="57">
        <v>1.6000000000000001E-3</v>
      </c>
      <c r="P9" s="30">
        <f t="shared" si="0"/>
        <v>1.6000000000000001E-3</v>
      </c>
      <c r="Q9" s="30">
        <f t="shared" si="1"/>
        <v>0.16</v>
      </c>
      <c r="R9" s="57">
        <v>1.6000000000000001E-3</v>
      </c>
      <c r="S9" s="33">
        <f t="shared" si="2"/>
        <v>8.0000000000000002E-3</v>
      </c>
      <c r="T9" s="40" t="s">
        <v>101</v>
      </c>
    </row>
    <row r="10" spans="1:20" ht="15.75" thickBot="1" x14ac:dyDescent="0.3">
      <c r="A10" s="13">
        <v>8</v>
      </c>
      <c r="B10" s="67"/>
      <c r="C10" s="41" t="s">
        <v>56</v>
      </c>
      <c r="D10" s="23" t="s">
        <v>57</v>
      </c>
      <c r="E10" s="23" t="s">
        <v>48</v>
      </c>
      <c r="F10" s="42" t="s">
        <v>58</v>
      </c>
      <c r="G10" s="23" t="s">
        <v>50</v>
      </c>
      <c r="H10" s="43" t="s">
        <v>99</v>
      </c>
      <c r="I10" s="43" t="s">
        <v>98</v>
      </c>
      <c r="J10" s="23" t="s">
        <v>59</v>
      </c>
      <c r="K10" s="45">
        <v>2</v>
      </c>
      <c r="L10" s="45">
        <v>100</v>
      </c>
      <c r="M10" s="46">
        <f t="shared" si="3"/>
        <v>10</v>
      </c>
      <c r="N10" s="47" t="s">
        <v>83</v>
      </c>
      <c r="O10" s="58">
        <v>2.3E-3</v>
      </c>
      <c r="P10" s="48">
        <f t="shared" si="0"/>
        <v>4.5999999999999999E-3</v>
      </c>
      <c r="Q10" s="48">
        <f t="shared" si="1"/>
        <v>0.22999999999999998</v>
      </c>
      <c r="R10" s="58">
        <v>2.3E-3</v>
      </c>
      <c r="S10" s="49">
        <f t="shared" si="2"/>
        <v>2.3E-2</v>
      </c>
      <c r="T10" s="50" t="s">
        <v>100</v>
      </c>
    </row>
    <row r="11" spans="1:20" ht="15.75" thickBot="1" x14ac:dyDescent="0.3">
      <c r="A11" s="13">
        <v>9</v>
      </c>
      <c r="B11" s="65" t="s">
        <v>60</v>
      </c>
      <c r="C11" s="69" t="s">
        <v>61</v>
      </c>
      <c r="D11" s="70" t="s">
        <v>62</v>
      </c>
      <c r="E11" s="70" t="s">
        <v>63</v>
      </c>
      <c r="F11" s="70" t="s">
        <v>64</v>
      </c>
      <c r="G11" s="70" t="s">
        <v>22</v>
      </c>
      <c r="H11" s="71"/>
      <c r="I11" s="70" t="s">
        <v>22</v>
      </c>
      <c r="J11" s="70" t="s">
        <v>65</v>
      </c>
      <c r="K11" s="72">
        <v>1</v>
      </c>
      <c r="L11" s="72"/>
      <c r="M11" s="72">
        <f t="shared" si="3"/>
        <v>5</v>
      </c>
      <c r="N11" s="73" t="s">
        <v>102</v>
      </c>
      <c r="O11" s="74">
        <v>0.94</v>
      </c>
      <c r="P11" s="74">
        <f t="shared" si="0"/>
        <v>0.94</v>
      </c>
      <c r="Q11" s="74">
        <f t="shared" si="1"/>
        <v>0</v>
      </c>
      <c r="R11" s="74">
        <v>0.94</v>
      </c>
      <c r="S11" s="74">
        <f t="shared" si="2"/>
        <v>4.6999999999999993</v>
      </c>
      <c r="T11" s="75"/>
    </row>
    <row r="12" spans="1:20" ht="15.75" thickBot="1" x14ac:dyDescent="0.3">
      <c r="A12" s="13">
        <v>10</v>
      </c>
      <c r="B12" s="67"/>
      <c r="C12" s="76" t="s">
        <v>66</v>
      </c>
      <c r="D12" s="77" t="s">
        <v>67</v>
      </c>
      <c r="E12" s="77" t="s">
        <v>63</v>
      </c>
      <c r="F12" s="77" t="s">
        <v>68</v>
      </c>
      <c r="G12" s="78" t="s">
        <v>22</v>
      </c>
      <c r="H12" s="79"/>
      <c r="I12" s="77" t="s">
        <v>22</v>
      </c>
      <c r="J12" s="77" t="s">
        <v>65</v>
      </c>
      <c r="K12" s="80">
        <v>1</v>
      </c>
      <c r="L12" s="80"/>
      <c r="M12" s="80">
        <f t="shared" si="3"/>
        <v>5</v>
      </c>
      <c r="N12" s="81" t="s">
        <v>102</v>
      </c>
      <c r="O12" s="82">
        <v>0.65</v>
      </c>
      <c r="P12" s="82">
        <f t="shared" si="0"/>
        <v>0.65</v>
      </c>
      <c r="Q12" s="82">
        <v>3.25</v>
      </c>
      <c r="R12" s="82">
        <v>0.65</v>
      </c>
      <c r="S12" s="82">
        <f>R12*M12</f>
        <v>3.25</v>
      </c>
      <c r="T12" s="83" t="s">
        <v>107</v>
      </c>
    </row>
    <row r="13" spans="1:20" ht="15.75" thickBot="1" x14ac:dyDescent="0.3">
      <c r="A13" s="13">
        <v>11</v>
      </c>
      <c r="B13" s="65" t="s">
        <v>105</v>
      </c>
      <c r="C13" s="19" t="s">
        <v>69</v>
      </c>
      <c r="D13" s="8" t="s">
        <v>70</v>
      </c>
      <c r="E13" s="8" t="s">
        <v>71</v>
      </c>
      <c r="F13" s="8" t="s">
        <v>72</v>
      </c>
      <c r="G13" s="8" t="s">
        <v>73</v>
      </c>
      <c r="H13" s="36" t="s">
        <v>103</v>
      </c>
      <c r="I13" s="8" t="s">
        <v>22</v>
      </c>
      <c r="J13" s="8" t="s">
        <v>65</v>
      </c>
      <c r="K13" s="21">
        <v>1</v>
      </c>
      <c r="L13" s="21">
        <v>5</v>
      </c>
      <c r="M13" s="2">
        <f t="shared" si="3"/>
        <v>5</v>
      </c>
      <c r="N13" s="3" t="s">
        <v>83</v>
      </c>
      <c r="O13" s="56">
        <v>2.6417999999999999</v>
      </c>
      <c r="P13" s="29">
        <f t="shared" si="0"/>
        <v>2.6417999999999999</v>
      </c>
      <c r="Q13" s="29">
        <f t="shared" si="1"/>
        <v>13.209</v>
      </c>
      <c r="R13" s="29">
        <v>2.64</v>
      </c>
      <c r="S13" s="37">
        <f t="shared" si="2"/>
        <v>13.200000000000001</v>
      </c>
      <c r="T13" s="54" t="s">
        <v>104</v>
      </c>
    </row>
    <row r="14" spans="1:20" ht="15.75" thickBot="1" x14ac:dyDescent="0.3">
      <c r="A14" s="13">
        <v>12</v>
      </c>
      <c r="B14" s="67"/>
      <c r="C14" s="51" t="s">
        <v>74</v>
      </c>
      <c r="D14" s="52" t="s">
        <v>75</v>
      </c>
      <c r="E14" s="52" t="s">
        <v>71</v>
      </c>
      <c r="F14" s="52" t="s">
        <v>76</v>
      </c>
      <c r="G14" s="52" t="s">
        <v>22</v>
      </c>
      <c r="H14" s="52"/>
      <c r="I14" s="52" t="s">
        <v>22</v>
      </c>
      <c r="J14" s="52" t="s">
        <v>22</v>
      </c>
      <c r="K14" s="53">
        <v>1</v>
      </c>
      <c r="L14" s="53"/>
      <c r="M14" s="53">
        <f t="shared" si="3"/>
        <v>5</v>
      </c>
      <c r="N14" s="52" t="s">
        <v>22</v>
      </c>
      <c r="O14" s="52" t="s">
        <v>22</v>
      </c>
      <c r="P14" s="52" t="s">
        <v>22</v>
      </c>
      <c r="Q14" s="52"/>
      <c r="R14" s="52"/>
      <c r="S14" s="52" t="s">
        <v>22</v>
      </c>
      <c r="T14" s="55" t="s">
        <v>77</v>
      </c>
    </row>
    <row r="15" spans="1:20" ht="19.5" thickBot="1" x14ac:dyDescent="0.35">
      <c r="A15" s="25"/>
      <c r="B15" s="25"/>
      <c r="C15" s="16"/>
      <c r="D15" s="25"/>
      <c r="E15" s="25"/>
      <c r="F15" s="25"/>
      <c r="G15" s="25"/>
      <c r="H15" s="25"/>
      <c r="I15" s="25"/>
      <c r="J15" s="24"/>
      <c r="K15" s="68" t="s">
        <v>78</v>
      </c>
      <c r="L15" s="68"/>
      <c r="M15" s="68"/>
      <c r="N15" s="68"/>
      <c r="O15" s="68"/>
      <c r="P15" s="26"/>
      <c r="Q15" s="26">
        <f>SUM(Q3:Q13)</f>
        <v>20.043999999999997</v>
      </c>
      <c r="R15" s="25"/>
      <c r="S15" s="27">
        <f>SUM(S3:S13)</f>
        <v>22.838999999999999</v>
      </c>
      <c r="T15" s="25"/>
    </row>
    <row r="16" spans="1:20" ht="18.75" x14ac:dyDescent="0.3">
      <c r="A16" s="25"/>
      <c r="B16" s="25"/>
      <c r="C16" s="16"/>
      <c r="D16" s="25"/>
      <c r="E16" s="25"/>
      <c r="F16" s="25"/>
      <c r="G16" s="25"/>
      <c r="H16" s="25"/>
      <c r="I16" s="25"/>
      <c r="J16" s="24"/>
      <c r="K16" s="59" t="s">
        <v>79</v>
      </c>
      <c r="L16" s="59"/>
      <c r="M16" s="59"/>
      <c r="N16" s="59"/>
      <c r="O16" s="59"/>
      <c r="P16" s="17">
        <f>SUM(P3:P13)</f>
        <v>4.5695999999999994</v>
      </c>
      <c r="Q16" s="18"/>
      <c r="R16" s="25"/>
      <c r="S16" s="28">
        <f>S15/5</f>
        <v>4.5678000000000001</v>
      </c>
      <c r="T16" s="25"/>
    </row>
  </sheetData>
  <mergeCells count="7">
    <mergeCell ref="K16:O16"/>
    <mergeCell ref="A1:R1"/>
    <mergeCell ref="B3:B7"/>
    <mergeCell ref="B8:B10"/>
    <mergeCell ref="B11:B12"/>
    <mergeCell ref="B13:B14"/>
    <mergeCell ref="K15:O15"/>
  </mergeCells>
  <conditionalFormatting sqref="P16:Q1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{E4C9AF98-FD5D-4B68-8392-12AC5EA8A763}</x14:id>
        </ext>
      </extLst>
    </cfRule>
  </conditionalFormatting>
  <conditionalFormatting sqref="S3:S1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{FD7B7F04-635F-45FD-9B67-860583781CF2}</x14:id>
        </ext>
      </extLst>
    </cfRule>
  </conditionalFormatting>
  <conditionalFormatting sqref="T11:T12 T14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{7FBBD782-A704-4BB5-90F0-E7B98C121782}</x14:id>
        </ext>
      </extLst>
    </cfRule>
  </conditionalFormatting>
  <conditionalFormatting sqref="M3:M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{73EF1E37-3CE7-4218-B569-D3A8BB56FF52}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6" r:id="rId4" xr:uid="{00000000-0004-0000-0000-000003000000}"/>
    <hyperlink ref="N7" r:id="rId5" xr:uid="{00000000-0004-0000-0000-000004000000}"/>
    <hyperlink ref="N8" r:id="rId6" xr:uid="{00000000-0004-0000-0000-000005000000}"/>
    <hyperlink ref="N9" r:id="rId7" xr:uid="{00000000-0004-0000-0000-000006000000}"/>
    <hyperlink ref="N10" r:id="rId8" xr:uid="{00000000-0004-0000-0000-000007000000}"/>
    <hyperlink ref="N11" r:id="rId9" xr:uid="{00000000-0004-0000-0000-000008000000}"/>
    <hyperlink ref="N12" r:id="rId10" xr:uid="{00000000-0004-0000-0000-000009000000}"/>
    <hyperlink ref="N13" r:id="rId11" xr:uid="{00000000-0004-0000-0000-00000A000000}"/>
  </hyperlinks>
  <pageMargins left="0.7" right="0.7" top="0.75" bottom="0.75" header="0.3" footer="0.3"/>
  <pageSetup orientation="portrait"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9AF98-FD5D-4B68-8392-12AC5EA8A7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P16:Q16</xm:sqref>
        </x14:conditionalFormatting>
        <x14:conditionalFormatting xmlns:xm="http://schemas.microsoft.com/office/excel/2006/main">
          <x14:cfRule type="dataBar" id="{FD7B7F04-635F-45FD-9B67-860583781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S3:S13</xm:sqref>
        </x14:conditionalFormatting>
        <x14:conditionalFormatting xmlns:xm="http://schemas.microsoft.com/office/excel/2006/main">
          <x14:cfRule type="dataBar" id="{7FBBD782-A704-4BB5-90F0-E7B98C121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T11:T12 T14</xm:sqref>
        </x14:conditionalFormatting>
        <x14:conditionalFormatting xmlns:xm="http://schemas.microsoft.com/office/excel/2006/main">
          <x14:cfRule type="dataBar" id="{73EF1E37-3CE7-4218-B569-D3A8BB56FF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2021-03-12T10:24:37Z</dcterms:created>
  <dcterms:modified xsi:type="dcterms:W3CDTF">2021-03-12T14:57:53Z</dcterms:modified>
</cp:coreProperties>
</file>