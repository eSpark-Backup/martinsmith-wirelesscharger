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orary\MartinS\Martin_Smith\Hardware-Designing\_Documents\Deliverables-(Transmitter)\BOM\"/>
    </mc:Choice>
  </mc:AlternateContent>
  <bookViews>
    <workbookView xWindow="0" yWindow="0" windowWidth="2049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16" i="1" l="1"/>
  <c r="N16" i="1"/>
  <c r="P15" i="1"/>
  <c r="N3" i="1"/>
  <c r="N7" i="1" l="1"/>
  <c r="N4" i="1" l="1"/>
  <c r="N5" i="1"/>
  <c r="N6" i="1"/>
  <c r="N13" i="1"/>
  <c r="N8" i="1"/>
  <c r="N9" i="1"/>
  <c r="N10" i="1"/>
  <c r="N11" i="1"/>
  <c r="N12" i="1"/>
  <c r="K6" i="1"/>
  <c r="P6" i="1" s="1"/>
  <c r="K4" i="1"/>
  <c r="P4" i="1" s="1"/>
  <c r="K3" i="1"/>
  <c r="P3" i="1" s="1"/>
  <c r="K8" i="1"/>
  <c r="P8" i="1" s="1"/>
  <c r="K9" i="1"/>
  <c r="P9" i="1" s="1"/>
  <c r="K10" i="1"/>
  <c r="P10" i="1" s="1"/>
  <c r="K11" i="1"/>
  <c r="P11" i="1" s="1"/>
  <c r="K12" i="1"/>
  <c r="P12" i="1" s="1"/>
  <c r="K5" i="1"/>
  <c r="P5" i="1" s="1"/>
  <c r="K7" i="1"/>
  <c r="P7" i="1" s="1"/>
  <c r="K14" i="1"/>
  <c r="K13" i="1"/>
  <c r="P13" i="1" s="1"/>
</calcChain>
</file>

<file path=xl/sharedStrings.xml><?xml version="1.0" encoding="utf-8"?>
<sst xmlns="http://schemas.openxmlformats.org/spreadsheetml/2006/main" count="125" uniqueCount="85">
  <si>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</si>
  <si>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</si>
  <si>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</si>
  <si>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</si>
  <si>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</si>
  <si>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</si>
  <si>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</si>
  <si>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</si>
  <si>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</si>
  <si>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</si>
  <si>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</si>
  <si>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</si>
  <si>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</si>
  <si>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DigiKey Link</t>
  </si>
  <si>
    <t>DigiKey</t>
  </si>
  <si>
    <t>Alternate</t>
  </si>
  <si>
    <t>Quantity 5</t>
  </si>
  <si>
    <t>Unit Cost (5 Boards)</t>
  </si>
  <si>
    <t>Bill of Material (BOM) for  Video Isolator</t>
  </si>
  <si>
    <t>Total Cost (5)</t>
  </si>
  <si>
    <t>R3</t>
  </si>
  <si>
    <t>U2</t>
  </si>
  <si>
    <t>CAP CER 0.1UF 35V X5R 0201</t>
  </si>
  <si>
    <t>J1</t>
  </si>
  <si>
    <t>J2</t>
  </si>
  <si>
    <t>CAP 0201</t>
  </si>
  <si>
    <t>Cap0402</t>
  </si>
  <si>
    <t>SMD PAD</t>
  </si>
  <si>
    <t>Res-0201</t>
  </si>
  <si>
    <t>SOP-8</t>
  </si>
  <si>
    <t>GRM033R6YA104ME14D</t>
  </si>
  <si>
    <t>0.1uF</t>
  </si>
  <si>
    <t>1uF</t>
  </si>
  <si>
    <t>Taiyo Yuden</t>
  </si>
  <si>
    <t>Murata</t>
  </si>
  <si>
    <t>Yageo</t>
  </si>
  <si>
    <t>Manufacturer</t>
  </si>
  <si>
    <t>Components</t>
  </si>
  <si>
    <t>Capacitors</t>
  </si>
  <si>
    <t>Resistors</t>
  </si>
  <si>
    <t>Ics</t>
  </si>
  <si>
    <t>DO NOT Mount</t>
  </si>
  <si>
    <t>Custom</t>
  </si>
  <si>
    <t>-----------</t>
  </si>
  <si>
    <t>-------------</t>
  </si>
  <si>
    <t>-----------------</t>
  </si>
  <si>
    <t>CAP CER 120PF 50V C0G/NP0 0201</t>
  </si>
  <si>
    <t>C1</t>
  </si>
  <si>
    <t>GRM0335C1H121JA01D</t>
  </si>
  <si>
    <t>120pF</t>
  </si>
  <si>
    <t>CAP CER 47UF 16V X5R 1206</t>
  </si>
  <si>
    <t>C2</t>
  </si>
  <si>
    <t>Cap1206</t>
  </si>
  <si>
    <t>Cap0201</t>
  </si>
  <si>
    <t>EMK316BBJ476ML-T</t>
  </si>
  <si>
    <t>47uF</t>
  </si>
  <si>
    <t>CAP CER 1500PF 25V X7R 0201</t>
  </si>
  <si>
    <t>C3</t>
  </si>
  <si>
    <t>CC0201KRX7R8BB152</t>
  </si>
  <si>
    <t>1500pF</t>
  </si>
  <si>
    <t>C5</t>
  </si>
  <si>
    <t>CAP CER 1UF 10V X5R 0402</t>
  </si>
  <si>
    <t>C6</t>
  </si>
  <si>
    <t>CC0402KRX5R6BB105</t>
  </si>
  <si>
    <t>RES SMD 47K OHM 5% 1/20W 0201</t>
  </si>
  <si>
    <t>R1, R2</t>
  </si>
  <si>
    <t>ERJ-1GNJ473C</t>
  </si>
  <si>
    <t>Panasonic</t>
  </si>
  <si>
    <t>47K</t>
  </si>
  <si>
    <t>RES SMD 9.1K OHM 5% 1/20W 0201</t>
  </si>
  <si>
    <t>RC0201JR-079K1L</t>
  </si>
  <si>
    <t>9.1K</t>
  </si>
  <si>
    <t>RES SMD 5.23K OHM 1% 1/20W 0201</t>
  </si>
  <si>
    <t>R4, R5</t>
  </si>
  <si>
    <t>ERJ-1GNF5231C</t>
  </si>
  <si>
    <t>5.23K</t>
  </si>
  <si>
    <t>1.5AUSB power chip wireless wireless charging</t>
  </si>
  <si>
    <t>XKT-412</t>
  </si>
  <si>
    <t>AliE</t>
  </si>
  <si>
    <t>high current power charging wireless IC chip</t>
  </si>
  <si>
    <t>XKT-335</t>
  </si>
  <si>
    <t>The IC is available only in 5pcs / lot</t>
  </si>
  <si>
    <t>CONN RCP USB3.1 TYPEC 24P SMD RA</t>
  </si>
  <si>
    <t>2305018-2</t>
  </si>
  <si>
    <t>TE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</si>
</sst>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_);[Red]\(&quot;$&quot;#,##0.00\)"/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  <xf numFmtId="0" fontId="14" fillId="6" borderId="0" applyNumberFormat="0" applyBorder="0" applyAlignment="0" applyProtection="0"/>
  </cellStyleXfs>
  <cellXfs count="72">
    <xf numFmtId="0" fontId="0" fillId="0" borderId="0" xfId="0"/>
    <xf numFmtId="0" fontId="1" fillId="4" borderId="0" xfId="2" applyBorder="1"/>
    <xf numFmtId="165" fontId="6" fillId="3" borderId="0" xfId="0" applyNumberFormat="1" applyFont="1" applyFill="1"/>
    <xf numFmtId="165" fontId="7" fillId="3" borderId="0" xfId="0" applyNumberFormat="1" applyFont="1" applyFill="1"/>
    <xf numFmtId="165" fontId="7" fillId="3" borderId="5" xfId="0" applyNumberFormat="1" applyFont="1" applyFill="1" applyBorder="1" applyAlignment="1">
      <alignment horizontal="center"/>
    </xf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10" fillId="0" borderId="1" xfId="2" applyNumberFormat="1" applyFont="1" applyFill="1" applyBorder="1" applyAlignment="1">
      <alignment horizontal="center" vertical="center"/>
    </xf>
    <xf numFmtId="0" fontId="12" fillId="5" borderId="13" xfId="0" quotePrefix="1" applyFont="1" applyFill="1" applyBorder="1" applyAlignment="1">
      <alignment horizontal="center" vertical="center" wrapText="1"/>
    </xf>
    <xf numFmtId="0" fontId="12" fillId="5" borderId="1" xfId="0" quotePrefix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quotePrefix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6" fontId="4" fillId="0" borderId="9" xfId="0" applyNumberFormat="1" applyFont="1" applyFill="1" applyBorder="1" applyAlignment="1">
      <alignment horizontal="center" vertical="center"/>
    </xf>
    <xf numFmtId="166" fontId="4" fillId="0" borderId="13" xfId="0" applyNumberFormat="1" applyFont="1" applyFill="1" applyBorder="1" applyAlignment="1">
      <alignment horizontal="center" vertical="center"/>
    </xf>
    <xf numFmtId="8" fontId="4" fillId="0" borderId="6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3" fillId="5" borderId="3" xfId="0" applyNumberFormat="1" applyFont="1" applyFill="1" applyBorder="1" applyAlignment="1">
      <alignment horizontal="center" vertical="center"/>
    </xf>
    <xf numFmtId="0" fontId="4" fillId="0" borderId="9" xfId="0" quotePrefix="1" applyFont="1" applyBorder="1" applyAlignment="1">
      <alignment horizontal="left" vertical="center" wrapText="1"/>
    </xf>
    <xf numFmtId="0" fontId="4" fillId="0" borderId="13" xfId="0" quotePrefix="1" applyFont="1" applyBorder="1" applyAlignment="1">
      <alignment horizontal="left" vertical="center"/>
    </xf>
    <xf numFmtId="0" fontId="4" fillId="0" borderId="13" xfId="0" quotePrefix="1" applyFont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5" fontId="14" fillId="6" borderId="0" xfId="3" applyNumberFormat="1" applyBorder="1"/>
    <xf numFmtId="0" fontId="5" fillId="3" borderId="5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3" fillId="0" borderId="2" xfId="1" applyBorder="1" applyAlignment="1" applyProtection="1">
      <alignment horizontal="center" vertical="center"/>
    </xf>
    <xf numFmtId="0" fontId="4" fillId="0" borderId="22" xfId="0" quotePrefix="1" applyFont="1" applyBorder="1" applyAlignment="1">
      <alignment horizontal="center" vertical="center" wrapText="1"/>
    </xf>
  </cellXfs>
  <cellStyles count="4">
    <cellStyle name="Check Cell" xfId="2" builtinId="23"/>
    <cellStyle name="Good" xfId="3" builtinId="26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panasonic-electronic-components/ERJ-1GNF5231C/2036194" TargetMode="External"/><Relationship Id="rId3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7" Type="http://schemas.openxmlformats.org/officeDocument/2006/relationships/hyperlink" Target="https://www.digikey.com/en/products/detail/yageo/RC0201JR-079K1L/5280801?s=N4IgTCBcDaIEoGEAMYkEYBScC0SDsAnANJoAyIAugL5A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yageo/CC0201KRX7R8BB152/5195016?s=N4IgTCBcDaIMJwAxkQRgNICUAaB2TAHAEJGoCsEAugL5A" TargetMode="External"/><Relationship Id="rId1" Type="http://schemas.openxmlformats.org/officeDocument/2006/relationships/hyperlink" Target="https://www.digikey.com/en/products/detail/taiyo-yuden/EMK316BBJ476ML-T/7067010?s=N4IgTCBcDaIKIFkDSBmAjANgEJYFIBYB2DBAGQFoAVEAXQF8g" TargetMode="External"/><Relationship Id="rId6" Type="http://schemas.openxmlformats.org/officeDocument/2006/relationships/hyperlink" Target="https://www.digikey.com/en/products/detail/panasonic-electronic-components/ERJ-1GNJ473C/2035827?s=N4IgTCBcDaIKICUBSBaAjAcQHJICwHYBmAYRAF0BfIA" TargetMode="External"/><Relationship Id="rId11" Type="http://schemas.openxmlformats.org/officeDocument/2006/relationships/hyperlink" Target="https://www.digikey.com/en/products/detail/murata-electronics/GRM0335C1H121JA01D/4213195?s=N4IgTCBcDaIOICUCyAGAzGgrAYQIwAlcxcApAQRVwBEQBdAXyA" TargetMode="External"/><Relationship Id="rId5" Type="http://schemas.openxmlformats.org/officeDocument/2006/relationships/hyperlink" Target="https://www.digikey.com/en/products/detail/te-connectivity-amp-connectors/2305018-2/8680920" TargetMode="External"/><Relationship Id="rId10" Type="http://schemas.openxmlformats.org/officeDocument/2006/relationships/hyperlink" Target="https://www.aliexpress.com/item/33018383643.html?spm=a2g0o.productlist.0.0.77fe52adQb6CDt&amp;algo_pvid=c7f128d6-a4bd-46b9-add2-00e04c3358ad&amp;algo_expid=c7f128d6-a4bd-46b9-add2-00e04c3358ad-0&amp;btsid=0bb0623016145410986685064ef48a&amp;ws_ab_test=searchweb0_0,searchw" TargetMode="External"/><Relationship Id="rId4" Type="http://schemas.openxmlformats.org/officeDocument/2006/relationships/hyperlink" Target="https://www.digikey.com/en/products/detail/yageo/CC0402KRX5R6BB105/2833604?s=N4IgTCBcDaIMJwAwBZFgNICUAaBWTAbAEJECMiuIAugL5A" TargetMode="External"/><Relationship Id="rId9" Type="http://schemas.openxmlformats.org/officeDocument/2006/relationships/hyperlink" Target="https://www.aliexpress.com/item/40001896869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topLeftCell="G1" zoomScale="85" zoomScaleNormal="85" workbookViewId="0">
      <selection activeCell="P16" sqref="P16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56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7.5703125" style="1" bestFit="1" customWidth="1"/>
    <col min="9" max="9" width="8.42578125" style="1" bestFit="1" customWidth="1"/>
    <col min="10" max="10" width="21.85546875" style="1" customWidth="1"/>
    <col min="11" max="11" width="13.85546875" style="1" bestFit="1" customWidth="1"/>
    <col min="12" max="12" width="15" style="1" customWidth="1"/>
    <col min="13" max="13" width="15.42578125" style="1" customWidth="1"/>
    <col min="14" max="14" width="13.140625" style="1" bestFit="1" customWidth="1"/>
    <col min="15" max="16" width="23" style="1" customWidth="1"/>
    <col min="17" max="17" width="31.42578125" style="1" customWidth="1"/>
    <col min="18" max="16384" width="9.140625" style="1"/>
  </cols>
  <sheetData>
    <row r="1" spans="1:17" ht="16.5" thickBot="1" x14ac:dyDescent="0.3">
      <c r="A1" s="62" t="s">
        <v>18</v>
      </c>
      <c r="B1" s="6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  <c r="P1" s="42"/>
      <c r="Q1" s="39"/>
    </row>
    <row r="2" spans="1:17" ht="16.5" thickBot="1" x14ac:dyDescent="0.3">
      <c r="A2" s="41" t="s">
        <v>0</v>
      </c>
      <c r="B2" s="57" t="s">
        <v>37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36</v>
      </c>
      <c r="H2" s="41" t="s">
        <v>15</v>
      </c>
      <c r="I2" s="41" t="s">
        <v>5</v>
      </c>
      <c r="J2" s="41" t="s">
        <v>10</v>
      </c>
      <c r="K2" s="41" t="s">
        <v>16</v>
      </c>
      <c r="L2" s="58" t="s">
        <v>13</v>
      </c>
      <c r="M2" s="41" t="s">
        <v>8</v>
      </c>
      <c r="N2" s="41" t="s">
        <v>9</v>
      </c>
      <c r="O2" s="41" t="s">
        <v>17</v>
      </c>
      <c r="P2" s="40" t="s">
        <v>19</v>
      </c>
      <c r="Q2" s="41" t="s">
        <v>12</v>
      </c>
    </row>
    <row r="3" spans="1:17" ht="15.75" thickBot="1" x14ac:dyDescent="0.3">
      <c r="A3" s="59">
        <v>1</v>
      </c>
      <c r="B3" s="67" t="s">
        <v>38</v>
      </c>
      <c r="C3" s="52" t="s">
        <v>46</v>
      </c>
      <c r="D3" s="11" t="s">
        <v>47</v>
      </c>
      <c r="E3" s="11" t="s">
        <v>53</v>
      </c>
      <c r="F3" s="30" t="s">
        <v>48</v>
      </c>
      <c r="G3" s="11" t="s">
        <v>34</v>
      </c>
      <c r="H3" s="12" t="s">
        <v>44</v>
      </c>
      <c r="I3" s="11" t="s">
        <v>49</v>
      </c>
      <c r="J3" s="13">
        <v>1</v>
      </c>
      <c r="K3" s="14">
        <f>J3*5</f>
        <v>5</v>
      </c>
      <c r="L3" s="70" t="s">
        <v>14</v>
      </c>
      <c r="M3" s="15">
        <v>0.1</v>
      </c>
      <c r="N3" s="16">
        <f>J3*M3</f>
        <v>0.1</v>
      </c>
      <c r="O3" s="45">
        <v>0.1</v>
      </c>
      <c r="P3" s="43">
        <f>O3*K3</f>
        <v>0.5</v>
      </c>
      <c r="Q3" s="6"/>
    </row>
    <row r="4" spans="1:17" s="28" customFormat="1" ht="15.75" thickBot="1" x14ac:dyDescent="0.3">
      <c r="A4" s="59">
        <v>2</v>
      </c>
      <c r="B4" s="68"/>
      <c r="C4" s="54" t="s">
        <v>50</v>
      </c>
      <c r="D4" s="27" t="s">
        <v>51</v>
      </c>
      <c r="E4" s="27" t="s">
        <v>52</v>
      </c>
      <c r="F4" s="30" t="s">
        <v>54</v>
      </c>
      <c r="G4" s="27" t="s">
        <v>33</v>
      </c>
      <c r="H4" s="18" t="s">
        <v>44</v>
      </c>
      <c r="I4" s="27" t="s">
        <v>55</v>
      </c>
      <c r="J4" s="26">
        <v>1</v>
      </c>
      <c r="K4" s="20">
        <f>J4*5</f>
        <v>5</v>
      </c>
      <c r="L4" s="10" t="s">
        <v>14</v>
      </c>
      <c r="M4" s="33">
        <v>0.7</v>
      </c>
      <c r="N4" s="32">
        <f>J4*M4</f>
        <v>0.7</v>
      </c>
      <c r="O4" s="46">
        <v>0.7</v>
      </c>
      <c r="P4" s="44">
        <f t="shared" ref="P4:P12" si="0">O4*K4</f>
        <v>3.5</v>
      </c>
      <c r="Q4" s="8"/>
    </row>
    <row r="5" spans="1:17" ht="15.75" thickBot="1" x14ac:dyDescent="0.3">
      <c r="A5" s="9">
        <v>3</v>
      </c>
      <c r="B5" s="68"/>
      <c r="C5" s="54" t="s">
        <v>56</v>
      </c>
      <c r="D5" s="17" t="s">
        <v>57</v>
      </c>
      <c r="E5" s="17" t="s">
        <v>53</v>
      </c>
      <c r="F5" s="31" t="s">
        <v>58</v>
      </c>
      <c r="G5" s="17" t="s">
        <v>35</v>
      </c>
      <c r="H5" s="18" t="s">
        <v>44</v>
      </c>
      <c r="I5" s="17" t="s">
        <v>59</v>
      </c>
      <c r="J5" s="19">
        <v>1</v>
      </c>
      <c r="K5" s="20">
        <f t="shared" ref="K5:K12" si="1">J5*5</f>
        <v>5</v>
      </c>
      <c r="L5" s="10" t="s">
        <v>14</v>
      </c>
      <c r="M5" s="22">
        <v>0.1</v>
      </c>
      <c r="N5" s="32">
        <f t="shared" ref="N5:N12" si="2">J5*M5</f>
        <v>0.1</v>
      </c>
      <c r="O5" s="47">
        <v>0.1</v>
      </c>
      <c r="P5" s="44">
        <f t="shared" si="0"/>
        <v>0.5</v>
      </c>
      <c r="Q5" s="7"/>
    </row>
    <row r="6" spans="1:17" ht="15.75" thickBot="1" x14ac:dyDescent="0.3">
      <c r="A6" s="59">
        <v>4</v>
      </c>
      <c r="B6" s="68"/>
      <c r="C6" s="54" t="s">
        <v>22</v>
      </c>
      <c r="D6" s="17" t="s">
        <v>60</v>
      </c>
      <c r="E6" s="17" t="s">
        <v>25</v>
      </c>
      <c r="F6" s="31" t="s">
        <v>30</v>
      </c>
      <c r="G6" s="17" t="s">
        <v>34</v>
      </c>
      <c r="H6" s="18" t="s">
        <v>44</v>
      </c>
      <c r="I6" s="17" t="s">
        <v>31</v>
      </c>
      <c r="J6" s="19">
        <v>1</v>
      </c>
      <c r="K6" s="20">
        <f>J6*5</f>
        <v>5</v>
      </c>
      <c r="L6" s="10" t="s">
        <v>14</v>
      </c>
      <c r="M6" s="21">
        <v>0.1</v>
      </c>
      <c r="N6" s="32">
        <f t="shared" si="2"/>
        <v>0.1</v>
      </c>
      <c r="O6" s="46">
        <v>0.1</v>
      </c>
      <c r="P6" s="44">
        <f t="shared" si="0"/>
        <v>0.5</v>
      </c>
      <c r="Q6" s="7"/>
    </row>
    <row r="7" spans="1:17" ht="15.75" thickBot="1" x14ac:dyDescent="0.3">
      <c r="A7" s="59">
        <v>5</v>
      </c>
      <c r="B7" s="68"/>
      <c r="C7" s="54" t="s">
        <v>61</v>
      </c>
      <c r="D7" s="17" t="s">
        <v>62</v>
      </c>
      <c r="E7" s="17" t="s">
        <v>26</v>
      </c>
      <c r="F7" s="31" t="s">
        <v>63</v>
      </c>
      <c r="G7" s="17" t="s">
        <v>35</v>
      </c>
      <c r="H7" s="18" t="s">
        <v>44</v>
      </c>
      <c r="I7" s="17" t="s">
        <v>32</v>
      </c>
      <c r="J7" s="19">
        <v>1</v>
      </c>
      <c r="K7" s="20">
        <f t="shared" si="1"/>
        <v>5</v>
      </c>
      <c r="L7" s="10" t="s">
        <v>14</v>
      </c>
      <c r="M7" s="23">
        <v>0.11</v>
      </c>
      <c r="N7" s="32">
        <f>J7*M7</f>
        <v>0.11</v>
      </c>
      <c r="O7" s="48">
        <v>0.11</v>
      </c>
      <c r="P7" s="44">
        <f t="shared" si="0"/>
        <v>0.55000000000000004</v>
      </c>
      <c r="Q7" s="7"/>
    </row>
    <row r="8" spans="1:17" ht="15.75" customHeight="1" thickBot="1" x14ac:dyDescent="0.3">
      <c r="A8" s="59">
        <v>18</v>
      </c>
      <c r="B8" s="67" t="s">
        <v>39</v>
      </c>
      <c r="C8" s="52" t="s">
        <v>64</v>
      </c>
      <c r="D8" s="11" t="s">
        <v>65</v>
      </c>
      <c r="E8" s="11" t="s">
        <v>28</v>
      </c>
      <c r="F8" s="30" t="s">
        <v>66</v>
      </c>
      <c r="G8" s="11" t="s">
        <v>67</v>
      </c>
      <c r="H8" s="29" t="s">
        <v>44</v>
      </c>
      <c r="I8" s="11" t="s">
        <v>68</v>
      </c>
      <c r="J8" s="13">
        <v>2</v>
      </c>
      <c r="K8" s="14">
        <f t="shared" si="1"/>
        <v>10</v>
      </c>
      <c r="L8" s="70" t="s">
        <v>14</v>
      </c>
      <c r="M8" s="25">
        <v>0.1</v>
      </c>
      <c r="N8" s="16">
        <f t="shared" si="2"/>
        <v>0.2</v>
      </c>
      <c r="O8" s="49">
        <v>2.7E-2</v>
      </c>
      <c r="P8" s="43">
        <f t="shared" si="0"/>
        <v>0.27</v>
      </c>
      <c r="Q8" s="6"/>
    </row>
    <row r="9" spans="1:17" ht="15.75" customHeight="1" thickBot="1" x14ac:dyDescent="0.3">
      <c r="A9" s="59">
        <v>19</v>
      </c>
      <c r="B9" s="68"/>
      <c r="C9" s="54" t="s">
        <v>69</v>
      </c>
      <c r="D9" s="17" t="s">
        <v>20</v>
      </c>
      <c r="E9" s="17" t="s">
        <v>28</v>
      </c>
      <c r="F9" s="31" t="s">
        <v>70</v>
      </c>
      <c r="G9" s="17" t="s">
        <v>35</v>
      </c>
      <c r="H9" s="27" t="s">
        <v>44</v>
      </c>
      <c r="I9" s="17" t="s">
        <v>71</v>
      </c>
      <c r="J9" s="19">
        <v>1</v>
      </c>
      <c r="K9" s="20">
        <f t="shared" si="1"/>
        <v>5</v>
      </c>
      <c r="L9" s="10" t="s">
        <v>14</v>
      </c>
      <c r="M9" s="21">
        <v>0.1</v>
      </c>
      <c r="N9" s="32">
        <f t="shared" si="2"/>
        <v>0.1</v>
      </c>
      <c r="O9" s="46">
        <v>0.1</v>
      </c>
      <c r="P9" s="44">
        <f t="shared" si="0"/>
        <v>0.5</v>
      </c>
      <c r="Q9" s="8"/>
    </row>
    <row r="10" spans="1:17" ht="15.75" customHeight="1" thickBot="1" x14ac:dyDescent="0.3">
      <c r="A10" s="59">
        <v>20</v>
      </c>
      <c r="B10" s="68"/>
      <c r="C10" s="54" t="s">
        <v>72</v>
      </c>
      <c r="D10" s="17" t="s">
        <v>73</v>
      </c>
      <c r="E10" s="24" t="s">
        <v>28</v>
      </c>
      <c r="F10" s="31" t="s">
        <v>74</v>
      </c>
      <c r="G10" s="17" t="s">
        <v>67</v>
      </c>
      <c r="H10" s="27" t="s">
        <v>44</v>
      </c>
      <c r="I10" s="17" t="s">
        <v>75</v>
      </c>
      <c r="J10" s="19">
        <v>2</v>
      </c>
      <c r="K10" s="20">
        <f t="shared" si="1"/>
        <v>10</v>
      </c>
      <c r="L10" s="10" t="s">
        <v>14</v>
      </c>
      <c r="M10" s="21">
        <v>0.1</v>
      </c>
      <c r="N10" s="32">
        <f t="shared" si="2"/>
        <v>0.2</v>
      </c>
      <c r="O10" s="46">
        <v>5.0999999999999997E-2</v>
      </c>
      <c r="P10" s="44">
        <f t="shared" si="0"/>
        <v>0.51</v>
      </c>
      <c r="Q10" s="8"/>
    </row>
    <row r="11" spans="1:17" ht="15.75" thickBot="1" x14ac:dyDescent="0.3">
      <c r="A11" s="59">
        <v>34</v>
      </c>
      <c r="B11" s="67" t="s">
        <v>40</v>
      </c>
      <c r="C11" s="53" t="s">
        <v>76</v>
      </c>
      <c r="D11" s="11" t="s">
        <v>6</v>
      </c>
      <c r="E11" s="71" t="s">
        <v>29</v>
      </c>
      <c r="F11" s="30" t="s">
        <v>77</v>
      </c>
      <c r="G11" s="29" t="s">
        <v>44</v>
      </c>
      <c r="H11" s="29" t="s">
        <v>44</v>
      </c>
      <c r="I11" s="11" t="s">
        <v>43</v>
      </c>
      <c r="J11" s="13">
        <v>1</v>
      </c>
      <c r="K11" s="14">
        <f t="shared" si="1"/>
        <v>5</v>
      </c>
      <c r="L11" s="70" t="s">
        <v>78</v>
      </c>
      <c r="M11" s="25">
        <v>0.95</v>
      </c>
      <c r="N11" s="16">
        <f t="shared" si="2"/>
        <v>0.95</v>
      </c>
      <c r="O11" s="49">
        <v>0.95</v>
      </c>
      <c r="P11" s="43">
        <f t="shared" si="0"/>
        <v>4.75</v>
      </c>
      <c r="Q11" s="6"/>
    </row>
    <row r="12" spans="1:17" ht="15.75" thickBot="1" x14ac:dyDescent="0.3">
      <c r="A12" s="59">
        <v>35</v>
      </c>
      <c r="B12" s="68"/>
      <c r="C12" s="54" t="s">
        <v>79</v>
      </c>
      <c r="D12" s="17" t="s">
        <v>21</v>
      </c>
      <c r="E12" s="17" t="s">
        <v>29</v>
      </c>
      <c r="F12" s="31" t="s">
        <v>80</v>
      </c>
      <c r="G12" s="29" t="s">
        <v>44</v>
      </c>
      <c r="H12" s="27" t="s">
        <v>44</v>
      </c>
      <c r="I12" s="17" t="s">
        <v>43</v>
      </c>
      <c r="J12" s="19">
        <v>1</v>
      </c>
      <c r="K12" s="20">
        <f t="shared" si="1"/>
        <v>5</v>
      </c>
      <c r="L12" s="10" t="s">
        <v>78</v>
      </c>
      <c r="M12" s="21">
        <v>0.65</v>
      </c>
      <c r="N12" s="32">
        <f t="shared" si="2"/>
        <v>0.65</v>
      </c>
      <c r="O12" s="46">
        <v>0.65</v>
      </c>
      <c r="P12" s="44">
        <f t="shared" si="0"/>
        <v>3.25</v>
      </c>
      <c r="Q12" s="8" t="s">
        <v>81</v>
      </c>
    </row>
    <row r="13" spans="1:17" ht="15.75" thickBot="1" x14ac:dyDescent="0.3">
      <c r="A13" s="59">
        <v>44</v>
      </c>
      <c r="B13" s="69"/>
      <c r="C13" s="54" t="s">
        <v>82</v>
      </c>
      <c r="D13" s="17" t="s">
        <v>24</v>
      </c>
      <c r="E13" s="17" t="s">
        <v>42</v>
      </c>
      <c r="F13" s="17" t="s">
        <v>83</v>
      </c>
      <c r="G13" s="17" t="s">
        <v>84</v>
      </c>
      <c r="H13" s="27" t="s">
        <v>44</v>
      </c>
      <c r="I13" s="17" t="s">
        <v>43</v>
      </c>
      <c r="J13" s="19">
        <v>1</v>
      </c>
      <c r="K13" s="20">
        <f t="shared" ref="K13:K14" si="3">J13*5</f>
        <v>5</v>
      </c>
      <c r="L13" s="10" t="s">
        <v>14</v>
      </c>
      <c r="M13" s="23">
        <v>3</v>
      </c>
      <c r="N13" s="32">
        <f>J13*M13</f>
        <v>3</v>
      </c>
      <c r="O13" s="48">
        <v>3</v>
      </c>
      <c r="P13" s="44">
        <f>O13*K13</f>
        <v>15</v>
      </c>
      <c r="Q13" s="50"/>
    </row>
    <row r="14" spans="1:17" ht="15.75" thickBot="1" x14ac:dyDescent="0.3">
      <c r="A14" s="59">
        <v>46</v>
      </c>
      <c r="B14" s="69"/>
      <c r="C14" s="34" t="s">
        <v>45</v>
      </c>
      <c r="D14" s="35" t="s">
        <v>23</v>
      </c>
      <c r="E14" s="35" t="s">
        <v>42</v>
      </c>
      <c r="F14" s="35" t="s">
        <v>27</v>
      </c>
      <c r="G14" s="37" t="s">
        <v>44</v>
      </c>
      <c r="H14" s="37" t="s">
        <v>44</v>
      </c>
      <c r="I14" s="37" t="s">
        <v>44</v>
      </c>
      <c r="J14" s="36">
        <v>1</v>
      </c>
      <c r="K14" s="38">
        <f t="shared" si="3"/>
        <v>5</v>
      </c>
      <c r="L14" s="37" t="s">
        <v>44</v>
      </c>
      <c r="M14" s="37" t="s">
        <v>44</v>
      </c>
      <c r="N14" s="37" t="s">
        <v>44</v>
      </c>
      <c r="O14" s="37" t="s">
        <v>44</v>
      </c>
      <c r="P14" s="37" t="s">
        <v>44</v>
      </c>
      <c r="Q14" s="51" t="s">
        <v>41</v>
      </c>
    </row>
    <row r="15" spans="1:17" ht="19.5" thickBot="1" x14ac:dyDescent="0.35">
      <c r="A15" s="5"/>
      <c r="B15" s="5"/>
      <c r="C15" s="55"/>
      <c r="D15" s="5"/>
      <c r="E15" s="5"/>
      <c r="F15" s="5"/>
      <c r="G15" s="5"/>
      <c r="H15" s="5"/>
      <c r="I15"/>
      <c r="J15" s="66" t="s">
        <v>7</v>
      </c>
      <c r="K15" s="66"/>
      <c r="L15" s="66"/>
      <c r="M15" s="66"/>
      <c r="N15" s="2"/>
      <c r="O15" s="5"/>
      <c r="P15" s="3">
        <f>SUM(P3:P14)</f>
        <v>29.83</v>
      </c>
      <c r="Q15" s="5"/>
    </row>
    <row r="16" spans="1:17" ht="18.75" x14ac:dyDescent="0.3">
      <c r="A16" s="5"/>
      <c r="B16" s="5"/>
      <c r="C16" s="55"/>
      <c r="D16" s="5"/>
      <c r="E16" s="5"/>
      <c r="F16" s="5"/>
      <c r="G16" s="5"/>
      <c r="H16" s="5"/>
      <c r="I16"/>
      <c r="J16" s="61" t="s">
        <v>11</v>
      </c>
      <c r="K16" s="61"/>
      <c r="L16" s="61"/>
      <c r="M16" s="61"/>
      <c r="N16" s="4">
        <f>SUM(N3:N14)</f>
        <v>6.2099999999999991</v>
      </c>
      <c r="O16" s="5"/>
      <c r="P16" s="60">
        <f>P15/5</f>
        <v>5.9659999999999993</v>
      </c>
      <c r="Q16" s="5"/>
    </row>
  </sheetData>
  <mergeCells count="7">
    <mergeCell ref="J16:M16"/>
    <mergeCell ref="A1:O1"/>
    <mergeCell ref="J15:M15"/>
    <mergeCell ref="B11:B12"/>
    <mergeCell ref="B3:B7"/>
    <mergeCell ref="B13:B14"/>
    <mergeCell ref="B8:B10"/>
  </mergeCells>
  <conditionalFormatting sqref="N1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N3:N13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P3:P1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conditionalFormatting sqref="Q3:Q14">
    <cfRule type="dataBar" priority="1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K3:K14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4" r:id="rId1"/>
    <hyperlink ref="L5" r:id="rId2"/>
    <hyperlink ref="L6" r:id="rId3"/>
    <hyperlink ref="L7" r:id="rId4"/>
    <hyperlink ref="L13" r:id="rId5"/>
    <hyperlink ref="L8" r:id="rId6"/>
    <hyperlink ref="L9" r:id="rId7"/>
    <hyperlink ref="L10" r:id="rId8"/>
    <hyperlink ref="L11" r:id="rId9"/>
    <hyperlink ref="L12" r:id="rId10"/>
    <hyperlink ref="L3" r:id="rId11"/>
  </hyperlinks>
  <pageMargins left="0.7" right="0.7" top="0.75" bottom="0.75" header="0.3" footer="0.3"/>
  <pageSetup orientation="portrait" horizontalDpi="300" verticalDpi="300"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N3:N13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P3:P13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Q3:Q14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2020-10-13T11:47:55Z</dcterms:created>
  <dcterms:modified xsi:type="dcterms:W3CDTF">2021-02-28T19:43:04Z</dcterms:modified>
</cp:coreProperties>
</file>