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user\Downloads\Martin bom (1)\Martin bom\Transmitter\"/>
    </mc:Choice>
  </mc:AlternateContent>
  <xr:revisionPtr revIDLastSave="0" documentId="13_ncr:1_{4949694F-82C0-45C5-B772-049343061FAF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" l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<sst xmlns="http://schemas.openxmlformats.org/spreadsheetml/2006/main" count="85" uniqueCount="68">
  <si>
    <t>S. No.</t>
  </si>
  <si>
    <t>Components</t>
  </si>
  <si>
    <t>Description</t>
  </si>
  <si>
    <t>Designator</t>
  </si>
  <si>
    <t>Footprint (Package)</t>
  </si>
  <si>
    <t>LCSC Part no:</t>
  </si>
  <si>
    <t>Value</t>
  </si>
  <si>
    <t>Quantity (Per Board)</t>
  </si>
  <si>
    <t>MOQ</t>
  </si>
  <si>
    <t>Quantity 5</t>
  </si>
  <si>
    <t>LCSC Link</t>
  </si>
  <si>
    <t>Capacitors</t>
  </si>
  <si>
    <t>CAP CER 120PF 50V C0G/NP0 0201</t>
  </si>
  <si>
    <t>C1</t>
  </si>
  <si>
    <t>Cap0201</t>
  </si>
  <si>
    <t>C161406</t>
  </si>
  <si>
    <t>-------------</t>
  </si>
  <si>
    <t>120pF</t>
  </si>
  <si>
    <t>LCSC</t>
  </si>
  <si>
    <t>CAP CER 47UF 16V X5R 1206</t>
  </si>
  <si>
    <t>C2</t>
  </si>
  <si>
    <t>Cap1206</t>
  </si>
  <si>
    <t>C385907</t>
  </si>
  <si>
    <t>47uF</t>
  </si>
  <si>
    <t>CAP CER 1500PF 25V X7R 0201</t>
  </si>
  <si>
    <t>C3</t>
  </si>
  <si>
    <t>C505482</t>
  </si>
  <si>
    <t>1500pF</t>
  </si>
  <si>
    <t>CAP CER 0.1UF 35V X5R 0201</t>
  </si>
  <si>
    <t>C5</t>
  </si>
  <si>
    <t>CAP 0201</t>
  </si>
  <si>
    <t>C181044</t>
  </si>
  <si>
    <t>0.1uF</t>
  </si>
  <si>
    <t>CAP CER 1UF 10V X5R 0402</t>
  </si>
  <si>
    <t>C6</t>
  </si>
  <si>
    <t>Cap0402</t>
  </si>
  <si>
    <t>C106254</t>
  </si>
  <si>
    <t>1uF</t>
  </si>
  <si>
    <t>Resistors</t>
  </si>
  <si>
    <t>RES SMD 47K OHM 5% 1/20W 0201</t>
  </si>
  <si>
    <t>R1, R2</t>
  </si>
  <si>
    <t>Res-0201</t>
  </si>
  <si>
    <t>C713503</t>
  </si>
  <si>
    <t>47K</t>
  </si>
  <si>
    <t>RES SMD 9.1K OHM 5% 1/20W 0201</t>
  </si>
  <si>
    <t>R3</t>
  </si>
  <si>
    <t>C295871</t>
  </si>
  <si>
    <t>9.1K</t>
  </si>
  <si>
    <t>RES SMD 5.23K OHM 1% 1/20W 0201</t>
  </si>
  <si>
    <t>R4, R5</t>
  </si>
  <si>
    <t>C332546</t>
  </si>
  <si>
    <t>5.23K</t>
  </si>
  <si>
    <t>Ics</t>
  </si>
  <si>
    <t>1.5AUSB power chip wireless wireless charging</t>
  </si>
  <si>
    <t>U1</t>
  </si>
  <si>
    <t>SOP-8</t>
  </si>
  <si>
    <t>-----------</t>
  </si>
  <si>
    <t>AliE</t>
  </si>
  <si>
    <t>high current power charging wireless IC chip</t>
  </si>
  <si>
    <t>U2</t>
  </si>
  <si>
    <t>Connectors</t>
  </si>
  <si>
    <t>CONN RCP USB3.1 TYPEC 24P SMD RA</t>
  </si>
  <si>
    <t>J2</t>
  </si>
  <si>
    <t>Custom</t>
  </si>
  <si>
    <t>C498674</t>
  </si>
  <si>
    <t>-----------------</t>
  </si>
  <si>
    <t>J1</t>
  </si>
  <si>
    <t>Bill of Material (BOM) for  Martin 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</si>
</sst>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5" xfId="0" quotePrefix="1" applyFont="1" applyBorder="1" applyAlignment="1">
      <alignment horizontal="left" vertical="center"/>
    </xf>
    <xf numFmtId="0" fontId="5" fillId="0" borderId="6" xfId="0" quotePrefix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7" fillId="0" borderId="6" xfId="1" applyFont="1" applyBorder="1" applyAlignment="1" applyProtection="1">
      <alignment horizontal="center" vertical="center"/>
    </xf>
    <xf numFmtId="0" fontId="5" fillId="0" borderId="8" xfId="0" quotePrefix="1" applyFont="1" applyBorder="1" applyAlignment="1">
      <alignment horizontal="left" vertical="center"/>
    </xf>
    <xf numFmtId="0" fontId="5" fillId="0" borderId="9" xfId="0" quotePrefix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7" fillId="0" borderId="9" xfId="1" applyFont="1" applyBorder="1" applyAlignment="1" applyProtection="1">
      <alignment horizontal="center" vertical="center"/>
    </xf>
    <xf numFmtId="0" fontId="5" fillId="0" borderId="11" xfId="0" quotePrefix="1" applyFont="1" applyBorder="1" applyAlignment="1">
      <alignment horizontal="left" vertical="center"/>
    </xf>
    <xf numFmtId="0" fontId="5" fillId="0" borderId="12" xfId="0" quotePrefix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7" fillId="0" borderId="12" xfId="1" applyFont="1" applyBorder="1" applyAlignment="1" applyProtection="1">
      <alignment horizontal="center" vertical="center"/>
    </xf>
    <xf numFmtId="0" fontId="7" fillId="0" borderId="6" xfId="1" applyBorder="1" applyAlignment="1" applyProtection="1">
      <alignment horizontal="center" vertical="center"/>
    </xf>
    <xf numFmtId="0" fontId="8" fillId="3" borderId="11" xfId="0" quotePrefix="1" applyFont="1" applyFill="1" applyBorder="1" applyAlignment="1">
      <alignment horizontal="center" vertical="center"/>
    </xf>
    <xf numFmtId="0" fontId="8" fillId="3" borderId="12" xfId="0" quotePrefix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3" borderId="5" xfId="0" quotePrefix="1" applyFont="1" applyFill="1" applyBorder="1" applyAlignment="1">
      <alignment horizontal="left" vertical="center"/>
    </xf>
    <xf numFmtId="0" fontId="5" fillId="3" borderId="6" xfId="0" quotePrefix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7" fillId="3" borderId="6" xfId="1" applyFill="1" applyBorder="1" applyAlignment="1" applyProtection="1">
      <alignment horizontal="center" vertical="center"/>
    </xf>
    <xf numFmtId="0" fontId="5" fillId="3" borderId="11" xfId="0" quotePrefix="1" applyFont="1" applyFill="1" applyBorder="1" applyAlignment="1">
      <alignment horizontal="left" vertical="center"/>
    </xf>
    <xf numFmtId="0" fontId="5" fillId="3" borderId="12" xfId="0" quotePrefix="1" applyFont="1" applyFill="1" applyBorder="1" applyAlignment="1">
      <alignment horizontal="center" vertical="center"/>
    </xf>
    <xf numFmtId="0" fontId="5" fillId="3" borderId="14" xfId="0" quotePrefix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7" fillId="3" borderId="12" xfId="1" applyFill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Others_RALEC-RTT015231FTH_C332546.html" TargetMode="External"/><Relationship Id="rId3" Type="http://schemas.openxmlformats.org/officeDocument/2006/relationships/hyperlink" Target="https://lcsc.com/product-detail/Multilayer-Ceramic-Capacitors-MLCC-SMD-SMT_YAGEO-CC0201KRX7R8BB152_C505482.html" TargetMode="External"/><Relationship Id="rId7" Type="http://schemas.openxmlformats.org/officeDocument/2006/relationships/hyperlink" Target="https://lcsc.com/product-detail/Chip-Resistor-Surface-Mount_YAGEO-RC0201JR-079K1L_C295871.html" TargetMode="External"/><Relationship Id="rId2" Type="http://schemas.openxmlformats.org/officeDocument/2006/relationships/hyperlink" Target="https://lcsc.com/product-detail/Multilayer-Ceramic-Capacitors-MLCC-SMD-SMT_Taiyo-Yuden-EMK316BBJ476ML-T_C385907.html" TargetMode="External"/><Relationship Id="rId1" Type="http://schemas.openxmlformats.org/officeDocument/2006/relationships/hyperlink" Target="https://lcsc.com/product-detail/Multilayer-Ceramic-Capacitors-MLCC-SMD-SMT_Murata-Electronics-GRM0335C1H121JA01D_C161406.html" TargetMode="External"/><Relationship Id="rId6" Type="http://schemas.openxmlformats.org/officeDocument/2006/relationships/hyperlink" Target="https://lcsc.com/product-detail/Chip-Resistor-Surface-Mount_PANASONIC-ERJ1GNJ473C_C713503.html" TargetMode="External"/><Relationship Id="rId11" Type="http://schemas.openxmlformats.org/officeDocument/2006/relationships/hyperlink" Target="https://lcsc.com/product-detail/USB-Connectors_TE-Connectivity-2305018-2_C498674.html" TargetMode="External"/><Relationship Id="rId5" Type="http://schemas.openxmlformats.org/officeDocument/2006/relationships/hyperlink" Target="https://lcsc.com/product-detail/Multilayer-Ceramic-Capacitors-MLCC-SMD-SMT_YAGEO-CC0402KRX5R6BB105_C106254.html" TargetMode="External"/><Relationship Id="rId10" Type="http://schemas.openxmlformats.org/officeDocument/2006/relationships/hyperlink" Target="https://www.aliexpress.com/item/33018383643.html?spm=a2g0o.productlist.0.0.77fe52adQb6CDt&amp;algo_pvid=c7f128d6-a4bd-46b9-add2-00e04c3358ad&amp;algo_expid=c7f128d6-a4bd-46b9-add2-00e04c3358ad-0&amp;btsid=0bb0623016145410986685064ef48a&amp;ws_ab_test=searchweb0_0,searchw" TargetMode="External"/><Relationship Id="rId4" Type="http://schemas.openxmlformats.org/officeDocument/2006/relationships/hyperlink" Target="https://lcsc.com/product-detail/Multilayer-Ceramic-Capacitors-MLCC-SMD-SMT_Murata-Electronics-GRM033R6YA104ME14D_C181044.html" TargetMode="External"/><Relationship Id="rId9" Type="http://schemas.openxmlformats.org/officeDocument/2006/relationships/hyperlink" Target="https://www.aliexpress.com/item/400018968697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I2" sqref="I2:I14"/>
    </sheetView>
  </sheetViews>
  <sheetFormatPr defaultRowHeight="15" x14ac:dyDescent="0.25"/>
  <cols>
    <col min="2" max="2" width="12.5703125" bestFit="1" customWidth="1"/>
    <col min="3" max="3" width="38.85546875" bestFit="1" customWidth="1"/>
    <col min="4" max="4" width="11.140625" bestFit="1" customWidth="1"/>
    <col min="5" max="5" width="19.28515625" bestFit="1" customWidth="1"/>
    <col min="6" max="6" width="13.42578125" bestFit="1" customWidth="1"/>
    <col min="8" max="8" width="20.28515625" bestFit="1" customWidth="1"/>
    <col min="10" max="10" width="10.7109375" bestFit="1" customWidth="1"/>
    <col min="11" max="11" width="9.85546875" bestFit="1" customWidth="1"/>
  </cols>
  <sheetData>
    <row r="1" spans="1:11" ht="15.75" thickBot="1" x14ac:dyDescent="0.3">
      <c r="A1" s="31" t="s">
        <v>67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16.5" thickBot="1" x14ac:dyDescent="0.3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4" t="s">
        <v>10</v>
      </c>
    </row>
    <row r="3" spans="1:11" ht="15.75" thickBot="1" x14ac:dyDescent="0.3">
      <c r="A3" s="5">
        <v>1</v>
      </c>
      <c r="B3" s="28" t="s">
        <v>11</v>
      </c>
      <c r="C3" s="6" t="s">
        <v>12</v>
      </c>
      <c r="D3" s="7" t="s">
        <v>13</v>
      </c>
      <c r="E3" s="7" t="s">
        <v>14</v>
      </c>
      <c r="F3" s="8" t="s">
        <v>15</v>
      </c>
      <c r="G3" s="7" t="s">
        <v>17</v>
      </c>
      <c r="H3" s="9">
        <v>1</v>
      </c>
      <c r="I3" s="9">
        <v>50</v>
      </c>
      <c r="J3" s="10">
        <f>H3*5</f>
        <v>5</v>
      </c>
      <c r="K3" s="11" t="s">
        <v>18</v>
      </c>
    </row>
    <row r="4" spans="1:11" ht="15.75" thickBot="1" x14ac:dyDescent="0.3">
      <c r="A4" s="5">
        <v>2</v>
      </c>
      <c r="B4" s="29"/>
      <c r="C4" s="12" t="s">
        <v>19</v>
      </c>
      <c r="D4" s="13" t="s">
        <v>20</v>
      </c>
      <c r="E4" s="13" t="s">
        <v>21</v>
      </c>
      <c r="F4" s="14" t="s">
        <v>22</v>
      </c>
      <c r="G4" s="13" t="s">
        <v>23</v>
      </c>
      <c r="H4" s="15">
        <v>1</v>
      </c>
      <c r="I4" s="15">
        <v>5</v>
      </c>
      <c r="J4" s="16">
        <f>H4*5</f>
        <v>5</v>
      </c>
      <c r="K4" s="17" t="s">
        <v>18</v>
      </c>
    </row>
    <row r="5" spans="1:11" ht="15.75" thickBot="1" x14ac:dyDescent="0.3">
      <c r="A5" s="5">
        <v>3</v>
      </c>
      <c r="B5" s="29"/>
      <c r="C5" s="12" t="s">
        <v>24</v>
      </c>
      <c r="D5" s="13" t="s">
        <v>25</v>
      </c>
      <c r="E5" s="13" t="s">
        <v>14</v>
      </c>
      <c r="F5" s="14" t="s">
        <v>26</v>
      </c>
      <c r="G5" s="13" t="s">
        <v>27</v>
      </c>
      <c r="H5" s="15">
        <v>1</v>
      </c>
      <c r="I5" s="15">
        <v>100</v>
      </c>
      <c r="J5" s="16">
        <f t="shared" ref="J5:J14" si="0">H5*5</f>
        <v>5</v>
      </c>
      <c r="K5" s="17" t="s">
        <v>18</v>
      </c>
    </row>
    <row r="6" spans="1:11" ht="15.75" thickBot="1" x14ac:dyDescent="0.3">
      <c r="A6" s="5">
        <v>4</v>
      </c>
      <c r="B6" s="29"/>
      <c r="C6" s="12" t="s">
        <v>28</v>
      </c>
      <c r="D6" s="13" t="s">
        <v>29</v>
      </c>
      <c r="E6" s="13" t="s">
        <v>30</v>
      </c>
      <c r="F6" s="14" t="s">
        <v>31</v>
      </c>
      <c r="G6" s="13" t="s">
        <v>32</v>
      </c>
      <c r="H6" s="15">
        <v>1</v>
      </c>
      <c r="I6" s="15">
        <v>50</v>
      </c>
      <c r="J6" s="16">
        <f>H6*5</f>
        <v>5</v>
      </c>
      <c r="K6" s="17" t="s">
        <v>18</v>
      </c>
    </row>
    <row r="7" spans="1:11" ht="15.75" thickBot="1" x14ac:dyDescent="0.3">
      <c r="A7" s="5">
        <v>5</v>
      </c>
      <c r="B7" s="30"/>
      <c r="C7" s="18" t="s">
        <v>33</v>
      </c>
      <c r="D7" s="19" t="s">
        <v>34</v>
      </c>
      <c r="E7" s="19" t="s">
        <v>35</v>
      </c>
      <c r="F7" s="20" t="s">
        <v>36</v>
      </c>
      <c r="G7" s="19" t="s">
        <v>37</v>
      </c>
      <c r="H7" s="21">
        <v>1</v>
      </c>
      <c r="I7" s="21">
        <v>100</v>
      </c>
      <c r="J7" s="22">
        <f t="shared" si="0"/>
        <v>5</v>
      </c>
      <c r="K7" s="23" t="s">
        <v>18</v>
      </c>
    </row>
    <row r="8" spans="1:11" ht="15.75" thickBot="1" x14ac:dyDescent="0.3">
      <c r="A8" s="5">
        <v>6</v>
      </c>
      <c r="B8" s="28" t="s">
        <v>38</v>
      </c>
      <c r="C8" s="6" t="s">
        <v>39</v>
      </c>
      <c r="D8" s="7" t="s">
        <v>40</v>
      </c>
      <c r="E8" s="7" t="s">
        <v>41</v>
      </c>
      <c r="F8" s="8" t="s">
        <v>42</v>
      </c>
      <c r="G8" s="7" t="s">
        <v>43</v>
      </c>
      <c r="H8" s="9">
        <v>2</v>
      </c>
      <c r="I8" s="9">
        <v>50</v>
      </c>
      <c r="J8" s="10">
        <f t="shared" si="0"/>
        <v>10</v>
      </c>
      <c r="K8" s="11" t="s">
        <v>18</v>
      </c>
    </row>
    <row r="9" spans="1:11" ht="15.75" thickBot="1" x14ac:dyDescent="0.3">
      <c r="A9" s="5">
        <v>7</v>
      </c>
      <c r="B9" s="29"/>
      <c r="C9" s="12" t="s">
        <v>44</v>
      </c>
      <c r="D9" s="13" t="s">
        <v>45</v>
      </c>
      <c r="E9" s="13" t="s">
        <v>41</v>
      </c>
      <c r="F9" s="14" t="s">
        <v>46</v>
      </c>
      <c r="G9" s="13" t="s">
        <v>47</v>
      </c>
      <c r="H9" s="15">
        <v>1</v>
      </c>
      <c r="I9" s="15">
        <v>100</v>
      </c>
      <c r="J9" s="16">
        <f t="shared" si="0"/>
        <v>5</v>
      </c>
      <c r="K9" s="17" t="s">
        <v>18</v>
      </c>
    </row>
    <row r="10" spans="1:11" ht="15.75" thickBot="1" x14ac:dyDescent="0.3">
      <c r="A10" s="5">
        <v>8</v>
      </c>
      <c r="B10" s="30"/>
      <c r="C10" s="18" t="s">
        <v>48</v>
      </c>
      <c r="D10" s="19" t="s">
        <v>49</v>
      </c>
      <c r="E10" s="19" t="s">
        <v>41</v>
      </c>
      <c r="F10" s="20" t="s">
        <v>50</v>
      </c>
      <c r="G10" s="19" t="s">
        <v>51</v>
      </c>
      <c r="H10" s="21">
        <v>2</v>
      </c>
      <c r="I10" s="21">
        <v>100</v>
      </c>
      <c r="J10" s="22">
        <f t="shared" si="0"/>
        <v>10</v>
      </c>
      <c r="K10" s="23" t="s">
        <v>18</v>
      </c>
    </row>
    <row r="11" spans="1:11" ht="15.75" thickBot="1" x14ac:dyDescent="0.3">
      <c r="A11" s="5">
        <v>9</v>
      </c>
      <c r="B11" s="28" t="s">
        <v>52</v>
      </c>
      <c r="C11" s="33" t="s">
        <v>53</v>
      </c>
      <c r="D11" s="34" t="s">
        <v>54</v>
      </c>
      <c r="E11" s="34" t="s">
        <v>55</v>
      </c>
      <c r="F11" s="35"/>
      <c r="G11" s="34" t="s">
        <v>56</v>
      </c>
      <c r="H11" s="36">
        <v>1</v>
      </c>
      <c r="I11" s="36"/>
      <c r="J11" s="36">
        <f t="shared" si="0"/>
        <v>5</v>
      </c>
      <c r="K11" s="37" t="s">
        <v>57</v>
      </c>
    </row>
    <row r="12" spans="1:11" ht="15.75" thickBot="1" x14ac:dyDescent="0.3">
      <c r="A12" s="5">
        <v>10</v>
      </c>
      <c r="B12" s="30"/>
      <c r="C12" s="38" t="s">
        <v>58</v>
      </c>
      <c r="D12" s="39" t="s">
        <v>59</v>
      </c>
      <c r="E12" s="39" t="s">
        <v>55</v>
      </c>
      <c r="F12" s="40"/>
      <c r="G12" s="39" t="s">
        <v>56</v>
      </c>
      <c r="H12" s="41">
        <v>1</v>
      </c>
      <c r="I12" s="41"/>
      <c r="J12" s="41">
        <f t="shared" si="0"/>
        <v>5</v>
      </c>
      <c r="K12" s="42" t="s">
        <v>57</v>
      </c>
    </row>
    <row r="13" spans="1:11" ht="15.75" thickBot="1" x14ac:dyDescent="0.3">
      <c r="A13" s="5">
        <v>11</v>
      </c>
      <c r="B13" s="28" t="s">
        <v>60</v>
      </c>
      <c r="C13" s="6" t="s">
        <v>61</v>
      </c>
      <c r="D13" s="7" t="s">
        <v>62</v>
      </c>
      <c r="E13" s="7" t="s">
        <v>63</v>
      </c>
      <c r="F13" s="8" t="s">
        <v>64</v>
      </c>
      <c r="G13" s="7" t="s">
        <v>56</v>
      </c>
      <c r="H13" s="9">
        <v>1</v>
      </c>
      <c r="I13" s="9">
        <v>5</v>
      </c>
      <c r="J13" s="10">
        <f t="shared" si="0"/>
        <v>5</v>
      </c>
      <c r="K13" s="24" t="s">
        <v>18</v>
      </c>
    </row>
    <row r="14" spans="1:11" ht="15.75" thickBot="1" x14ac:dyDescent="0.3">
      <c r="A14" s="5">
        <v>12</v>
      </c>
      <c r="B14" s="30"/>
      <c r="C14" s="25" t="s">
        <v>65</v>
      </c>
      <c r="D14" s="26" t="s">
        <v>66</v>
      </c>
      <c r="E14" s="26" t="s">
        <v>63</v>
      </c>
      <c r="F14" s="26"/>
      <c r="G14" s="26" t="s">
        <v>16</v>
      </c>
      <c r="H14" s="27">
        <v>1</v>
      </c>
      <c r="I14" s="27"/>
      <c r="J14" s="27">
        <f t="shared" si="0"/>
        <v>5</v>
      </c>
      <c r="K14" s="26" t="s">
        <v>16</v>
      </c>
    </row>
  </sheetData>
  <mergeCells count="5">
    <mergeCell ref="B3:B7"/>
    <mergeCell ref="B8:B10"/>
    <mergeCell ref="B11:B12"/>
    <mergeCell ref="B13:B14"/>
    <mergeCell ref="A1:K1"/>
  </mergeCells>
  <conditionalFormatting sqref="J3:J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K3" r:id="rId1" xr:uid="{00000000-0004-0000-0000-000000000000}"/>
    <hyperlink ref="K4" r:id="rId2" xr:uid="{00000000-0004-0000-0000-000001000000}"/>
    <hyperlink ref="K5" r:id="rId3" xr:uid="{00000000-0004-0000-0000-000002000000}"/>
    <hyperlink ref="K6" r:id="rId4" xr:uid="{00000000-0004-0000-0000-000003000000}"/>
    <hyperlink ref="K7" r:id="rId5" xr:uid="{00000000-0004-0000-0000-000004000000}"/>
    <hyperlink ref="K8" r:id="rId6" xr:uid="{00000000-0004-0000-0000-000005000000}"/>
    <hyperlink ref="K9" r:id="rId7" xr:uid="{00000000-0004-0000-0000-000006000000}"/>
    <hyperlink ref="K10" r:id="rId8" xr:uid="{00000000-0004-0000-0000-000007000000}"/>
    <hyperlink ref="K11" r:id="rId9" xr:uid="{00000000-0004-0000-0000-000008000000}"/>
    <hyperlink ref="K12" r:id="rId10" xr:uid="{00000000-0004-0000-0000-000009000000}"/>
    <hyperlink ref="K13" r:id="rId11" xr:uid="{00000000-0004-0000-00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2021-03-12T11:27:31Z</dcterms:created>
  <dcterms:modified xsi:type="dcterms:W3CDTF">2021-03-12T14:57:57Z</dcterms:modified>
</cp:coreProperties>
</file>