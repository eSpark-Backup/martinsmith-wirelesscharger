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Spark\Martin_Smith\Hardware-Designing\_Documents\Deliverables-(Receiver)\BOM\"/>
    </mc:Choice>
  </mc:AlternateContent>
  <xr:revisionPtr revIDLastSave="0" documentId="13_ncr:1_{1102CDF8-C0B3-48DF-93F4-3F5D3E5DDB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R23" i="1" l="1"/>
  <c r="P23" i="1"/>
  <c r="P31" i="1"/>
  <c r="R31" i="1"/>
  <c r="M31" i="1"/>
  <c r="R7" i="1"/>
  <c r="P7" i="1"/>
  <c r="R22" i="1"/>
  <c r="P22" i="1"/>
  <c r="M23" i="1"/>
  <c r="M22" i="1"/>
  <c r="P47" i="1"/>
  <c r="P46" i="1"/>
  <c r="R46" i="1"/>
  <c r="R45" i="1"/>
  <c r="P44" i="1"/>
  <c r="P43" i="1"/>
  <c r="R38" i="1"/>
  <c r="R37" i="1"/>
  <c r="P37" i="1"/>
  <c r="P26" i="1"/>
  <c r="P18" i="1"/>
  <c r="P17" i="1"/>
  <c r="P3" i="1"/>
  <c r="P9" i="1"/>
  <c r="P8" i="1"/>
  <c r="R9" i="1"/>
  <c r="M9" i="1"/>
  <c r="M8" i="1"/>
  <c r="R35" i="1" l="1"/>
  <c r="R36" i="1"/>
  <c r="R28" i="1"/>
  <c r="R29" i="1"/>
  <c r="R30" i="1"/>
  <c r="R32" i="1"/>
  <c r="R33" i="1"/>
  <c r="R27" i="1"/>
  <c r="R20" i="1"/>
  <c r="R21" i="1"/>
  <c r="R24" i="1"/>
  <c r="R25" i="1"/>
  <c r="R19" i="1"/>
  <c r="P15" i="1"/>
  <c r="R14" i="1"/>
  <c r="P13" i="1"/>
  <c r="R10" i="1"/>
  <c r="R11" i="1"/>
  <c r="R12" i="1"/>
  <c r="R8" i="1"/>
  <c r="R4" i="1"/>
  <c r="R5" i="1"/>
  <c r="R6" i="1"/>
  <c r="R3" i="1"/>
  <c r="P4" i="1"/>
  <c r="P5" i="1"/>
  <c r="P6" i="1"/>
  <c r="P10" i="1"/>
  <c r="P11" i="1"/>
  <c r="P12" i="1"/>
  <c r="P14" i="1"/>
  <c r="P16" i="1"/>
  <c r="P19" i="1"/>
  <c r="P20" i="1"/>
  <c r="P21" i="1"/>
  <c r="P24" i="1"/>
  <c r="P25" i="1"/>
  <c r="P27" i="1"/>
  <c r="P28" i="1"/>
  <c r="P29" i="1"/>
  <c r="P30" i="1"/>
  <c r="P32" i="1"/>
  <c r="P33" i="1"/>
  <c r="P34" i="1"/>
  <c r="P35" i="1"/>
  <c r="P36" i="1"/>
  <c r="P38" i="1"/>
  <c r="P39" i="1"/>
  <c r="P40" i="1"/>
  <c r="P41" i="1"/>
  <c r="P42" i="1"/>
  <c r="P45" i="1"/>
  <c r="M6" i="1" l="1"/>
  <c r="M4" i="1"/>
  <c r="M3" i="1"/>
  <c r="M18" i="1"/>
  <c r="R18" i="1" s="1"/>
  <c r="M19" i="1"/>
  <c r="M20" i="1"/>
  <c r="M21" i="1"/>
  <c r="M24" i="1"/>
  <c r="M25" i="1"/>
  <c r="M26" i="1"/>
  <c r="R26" i="1" s="1"/>
  <c r="M27" i="1"/>
  <c r="M28" i="1"/>
  <c r="M29" i="1"/>
  <c r="M30" i="1"/>
  <c r="M32" i="1"/>
  <c r="M33" i="1"/>
  <c r="M34" i="1"/>
  <c r="R34" i="1" s="1"/>
  <c r="M35" i="1"/>
  <c r="M36" i="1"/>
  <c r="M48" i="1"/>
  <c r="M37" i="1"/>
  <c r="M38" i="1"/>
  <c r="M39" i="1"/>
  <c r="R39" i="1" s="1"/>
  <c r="M40" i="1"/>
  <c r="R40" i="1" s="1"/>
  <c r="M41" i="1"/>
  <c r="R41" i="1" s="1"/>
  <c r="M42" i="1"/>
  <c r="R42" i="1" s="1"/>
  <c r="M43" i="1"/>
  <c r="M44" i="1"/>
  <c r="R44" i="1" s="1"/>
  <c r="M46" i="1"/>
  <c r="M16" i="1"/>
  <c r="R16" i="1" s="1"/>
  <c r="M15" i="1"/>
  <c r="R15" i="1" s="1"/>
  <c r="M10" i="1"/>
  <c r="M5" i="1"/>
  <c r="M7" i="1"/>
  <c r="M11" i="1"/>
  <c r="M12" i="1"/>
  <c r="M13" i="1"/>
  <c r="R13" i="1" s="1"/>
  <c r="M14" i="1"/>
  <c r="M45" i="1"/>
  <c r="M49" i="1"/>
  <c r="M50" i="1"/>
  <c r="M47" i="1"/>
  <c r="R47" i="1" s="1"/>
  <c r="M17" i="1"/>
  <c r="R17" i="1" s="1"/>
  <c r="P52" i="1" l="1"/>
  <c r="R51" i="1"/>
  <c r="R52" i="1" s="1"/>
</calcChain>
</file>

<file path=xl/sharedStrings.xml><?xml version="1.0" encoding="utf-8"?>
<sst xmlns="http://schemas.openxmlformats.org/spreadsheetml/2006/main" count="461" uniqueCount="316">
  <si>
    <t>S. No.</t>
  </si>
  <si>
    <t>Description</t>
  </si>
  <si>
    <t>Designator</t>
  </si>
  <si>
    <t>Footprint (Package)</t>
  </si>
  <si>
    <t>Manufacturer Part Number</t>
  </si>
  <si>
    <t>Value</t>
  </si>
  <si>
    <t>U1</t>
  </si>
  <si>
    <t xml:space="preserve">Total Component Cost </t>
  </si>
  <si>
    <t>Unit Cost(1)</t>
  </si>
  <si>
    <t>Total Cost(1)</t>
  </si>
  <si>
    <t>Quantity (Per Board)</t>
  </si>
  <si>
    <t>Single Board Cost</t>
  </si>
  <si>
    <t>Remarks</t>
  </si>
  <si>
    <t>Alternate</t>
  </si>
  <si>
    <t>Quantity 5</t>
  </si>
  <si>
    <t>Unit Cost (5 Boards)</t>
  </si>
  <si>
    <t>Bill of Material (BOM) for  Video Isolator</t>
  </si>
  <si>
    <t>Total Cost (5)</t>
  </si>
  <si>
    <t>LED</t>
  </si>
  <si>
    <t>R3</t>
  </si>
  <si>
    <t>R6</t>
  </si>
  <si>
    <t>The only available vibration sensor on digikey</t>
  </si>
  <si>
    <t>10K</t>
  </si>
  <si>
    <t>U2</t>
  </si>
  <si>
    <t>CAP CER 0.022UF 25V X5R 0201</t>
  </si>
  <si>
    <t>CAP CER 22UF 10V X5R 0603</t>
  </si>
  <si>
    <t>CAP CER 0.1UF 35V X5R 0201</t>
  </si>
  <si>
    <t>CAP CER 1UF 16V X5R 0201</t>
  </si>
  <si>
    <t>CAP CER 4700PF 25V X5R 0201</t>
  </si>
  <si>
    <t>CAP CER 2.7PF 25V NP0 0402</t>
  </si>
  <si>
    <t>CAP CER 10UF 25V X5R 0603</t>
  </si>
  <si>
    <t>CAP CER X7R 0201</t>
  </si>
  <si>
    <t>CAP TANT 10UF 20% 25V 2312</t>
  </si>
  <si>
    <t>CAP CER 4.7PF 16V C0G/NP0 0402</t>
  </si>
  <si>
    <t>DIODE SCHOTTKY 40V 3A DO214AB</t>
  </si>
  <si>
    <t>CONN HEADER VERT 3POS 2MM</t>
  </si>
  <si>
    <t>CABLE ADAPTER 6 POS</t>
  </si>
  <si>
    <t>CONN HEADER VERT 4POS 2MM</t>
  </si>
  <si>
    <t>CONN U.FL RCPT STR 50 OHM SMD</t>
  </si>
  <si>
    <t>Ind Power Wirewound 10uH 20% Ferrite Core T/R</t>
  </si>
  <si>
    <t>FIXED IND 22UH 1.6A 106 MOHM SMD</t>
  </si>
  <si>
    <t>FIXED IND 1.6NH 660MA 150 MOHM</t>
  </si>
  <si>
    <t>Led White Clear 0603 SMD</t>
  </si>
  <si>
    <t>TRANS 2NPN PREBIAS 0.15W UMT6</t>
  </si>
  <si>
    <t>RES 150K OHM 1% 1/20W 0201</t>
  </si>
  <si>
    <t>RES SMD 18K OHM 1% 1/20W 0201</t>
  </si>
  <si>
    <t>RES SMD 1.1K OHM 1% 1/20W 0201</t>
  </si>
  <si>
    <t>RES SMD 10K OHM 5% 1/20W 0201</t>
  </si>
  <si>
    <t>THERMISTOR NTC 10KOHM 3380K 0402</t>
  </si>
  <si>
    <t>RES SMD 100K OHM 1% 1/20W 0201</t>
  </si>
  <si>
    <t>RES SMD 56K OHM 1% 1/20W 0201</t>
  </si>
  <si>
    <t>RES 1K OHM 1% 1/20W 0201</t>
  </si>
  <si>
    <t>RES 198K OHM 0.5% 1/16W 0402</t>
  </si>
  <si>
    <t>RES SMD 1.2K OHM 5% 1/20W 0201</t>
  </si>
  <si>
    <t>RES 320K OHM 0.25% 1/10W 0603</t>
  </si>
  <si>
    <t>RES 6.2K OHM 5% 1/20W 0201</t>
  </si>
  <si>
    <t>RES 2K OHM 5% 1/20W 0201</t>
  </si>
  <si>
    <t>Solder Bridge ON</t>
  </si>
  <si>
    <t>SWITCH TACTILE SPST-NO 0.05A 12V</t>
  </si>
  <si>
    <t>IC REG BOOST ADJ 7A 11VQFN</t>
  </si>
  <si>
    <t>IC BATT CHG LI-ION 1CELL 10MSOP</t>
  </si>
  <si>
    <t>IC REG LINEAR 3.3V 1A 8XDFN</t>
  </si>
  <si>
    <t>RX TXRX MOD WIFI SURFACE MOUNT</t>
  </si>
  <si>
    <t>Motor Driver, Stepper, QFN-28</t>
  </si>
  <si>
    <t>RF ANT 2.4GHZ STAMPED MET SLD</t>
  </si>
  <si>
    <t>C1, C18</t>
  </si>
  <si>
    <t>C2, C3, C6, C11, C23, C24</t>
  </si>
  <si>
    <t>C4, C5</t>
  </si>
  <si>
    <t>C9</t>
  </si>
  <si>
    <t>C26</t>
  </si>
  <si>
    <t>C27</t>
  </si>
  <si>
    <t>C29</t>
  </si>
  <si>
    <t>C30, C31</t>
  </si>
  <si>
    <t>C32</t>
  </si>
  <si>
    <t>D2, D3</t>
  </si>
  <si>
    <t>J1</t>
  </si>
  <si>
    <t>J2</t>
  </si>
  <si>
    <t>J3</t>
  </si>
  <si>
    <t>J4</t>
  </si>
  <si>
    <t>J5</t>
  </si>
  <si>
    <t>L1</t>
  </si>
  <si>
    <t>L2</t>
  </si>
  <si>
    <t>L3</t>
  </si>
  <si>
    <t>LED2</t>
  </si>
  <si>
    <t>Q1</t>
  </si>
  <si>
    <t>R1, R4</t>
  </si>
  <si>
    <t>R2</t>
  </si>
  <si>
    <t>R5</t>
  </si>
  <si>
    <t>R8, R12</t>
  </si>
  <si>
    <t>R9, R18</t>
  </si>
  <si>
    <t>R10</t>
  </si>
  <si>
    <t>R11, R14, RF5</t>
  </si>
  <si>
    <t>R13</t>
  </si>
  <si>
    <t>R17</t>
  </si>
  <si>
    <t>R19</t>
  </si>
  <si>
    <t>R27</t>
  </si>
  <si>
    <t>R28</t>
  </si>
  <si>
    <t>SB1, SB2</t>
  </si>
  <si>
    <t>SW2</t>
  </si>
  <si>
    <t>U3</t>
  </si>
  <si>
    <t>U4</t>
  </si>
  <si>
    <t>U5</t>
  </si>
  <si>
    <t>U7</t>
  </si>
  <si>
    <t>U8</t>
  </si>
  <si>
    <t>CAP 0201</t>
  </si>
  <si>
    <t>Cap0402</t>
  </si>
  <si>
    <t>Cap0603</t>
  </si>
  <si>
    <t>Cap 0201</t>
  </si>
  <si>
    <t>Cap Case-C</t>
  </si>
  <si>
    <t>SMC</t>
  </si>
  <si>
    <t>B3B-PH-K-S(LF)(SN)</t>
  </si>
  <si>
    <t>SMD PAD</t>
  </si>
  <si>
    <t>TC2030-IDC</t>
  </si>
  <si>
    <t>B4B-PH-K-S(LF)(SN)</t>
  </si>
  <si>
    <t>U.FL-R-SMT-1(80)</t>
  </si>
  <si>
    <t>SRN5040TA-100M</t>
  </si>
  <si>
    <t>SRU8028-220Y</t>
  </si>
  <si>
    <t>Ind 0402</t>
  </si>
  <si>
    <t>LED 0603</t>
  </si>
  <si>
    <t>SOT-363</t>
  </si>
  <si>
    <t>Res-0201</t>
  </si>
  <si>
    <t>Res0402</t>
  </si>
  <si>
    <t>Res0603</t>
  </si>
  <si>
    <t>Solder Bridge</t>
  </si>
  <si>
    <t>434121025816</t>
  </si>
  <si>
    <t>TPS61089RNRT</t>
  </si>
  <si>
    <t>BQ24092DGQR</t>
  </si>
  <si>
    <t>NCP186AMX330TAG</t>
  </si>
  <si>
    <t>48-SMD Module</t>
  </si>
  <si>
    <t>QFN-28</t>
  </si>
  <si>
    <t>SOP-8</t>
  </si>
  <si>
    <t>PRO-OB-440</t>
  </si>
  <si>
    <t>TMK063BJ223KP-F</t>
  </si>
  <si>
    <t>GRM155R61A475MEAAD</t>
  </si>
  <si>
    <t>GRM187R61A226ME15D</t>
  </si>
  <si>
    <t>GRM033R6YA104ME14D</t>
  </si>
  <si>
    <t>CL03A105MO3NRNH</t>
  </si>
  <si>
    <t>GRM033R61E472MA12D</t>
  </si>
  <si>
    <t>04023A2R7BAT2A</t>
  </si>
  <si>
    <t>GRM188R61E106KA73D</t>
  </si>
  <si>
    <t>CC0201KRX7R8BB103</t>
  </si>
  <si>
    <t>293D106X0025C2TE3</t>
  </si>
  <si>
    <t>885012005023</t>
  </si>
  <si>
    <t>HLC021R6BTTR</t>
  </si>
  <si>
    <t>IN-S63AT5UW</t>
  </si>
  <si>
    <t>UMH3NTN</t>
  </si>
  <si>
    <t>RMCF0201FT150K</t>
  </si>
  <si>
    <t>RC0201FR-0718KL</t>
  </si>
  <si>
    <t>RC0201FR-071K1L</t>
  </si>
  <si>
    <t>RC0201JR-0710KL</t>
  </si>
  <si>
    <t>B57230V2103F260</t>
  </si>
  <si>
    <t>RC0201FR-07100KL</t>
  </si>
  <si>
    <t>AC0201FR-0756KL</t>
  </si>
  <si>
    <t>RC0201FR-071KP</t>
  </si>
  <si>
    <t>RN73H1ETTP1983D25</t>
  </si>
  <si>
    <t>RC0201JR-071K2L</t>
  </si>
  <si>
    <t>RN73H1JTTD3203C25</t>
  </si>
  <si>
    <t>RMCF0201JT6K20</t>
  </si>
  <si>
    <t>RMCF0201JT2K00</t>
  </si>
  <si>
    <t>ESP32-PICO-D4</t>
  </si>
  <si>
    <t>TMC2209-LA-T</t>
  </si>
  <si>
    <t>XKT-510 T3168</t>
  </si>
  <si>
    <t>22nF</t>
  </si>
  <si>
    <t>4.7uF</t>
  </si>
  <si>
    <t>22uF</t>
  </si>
  <si>
    <t>0.1uF</t>
  </si>
  <si>
    <t>1uF</t>
  </si>
  <si>
    <t>4.7nF</t>
  </si>
  <si>
    <t>2.7pF</t>
  </si>
  <si>
    <t>10uf</t>
  </si>
  <si>
    <t>10000pF</t>
  </si>
  <si>
    <t>10uF</t>
  </si>
  <si>
    <t>4.7pF</t>
  </si>
  <si>
    <t>10µH</t>
  </si>
  <si>
    <t>22uH</t>
  </si>
  <si>
    <t>1.6nH</t>
  </si>
  <si>
    <t>150K</t>
  </si>
  <si>
    <t>18K</t>
  </si>
  <si>
    <t>1.1K</t>
  </si>
  <si>
    <t>100K</t>
  </si>
  <si>
    <t>56K</t>
  </si>
  <si>
    <t>1K</t>
  </si>
  <si>
    <t>198K</t>
  </si>
  <si>
    <t>1.2k</t>
  </si>
  <si>
    <t>320K</t>
  </si>
  <si>
    <t>6.2K</t>
  </si>
  <si>
    <t>2K</t>
  </si>
  <si>
    <t>Taiyo Yuden</t>
  </si>
  <si>
    <t>Murata</t>
  </si>
  <si>
    <t>Samsung</t>
  </si>
  <si>
    <t>Kyocera AVX</t>
  </si>
  <si>
    <t>Yageo</t>
  </si>
  <si>
    <t>Vishay Sprague</t>
  </si>
  <si>
    <t>Wurth Electronics</t>
  </si>
  <si>
    <t>Vishay Semiconductors</t>
  </si>
  <si>
    <t>JST</t>
  </si>
  <si>
    <t>Tag-Connect</t>
  </si>
  <si>
    <t>Hirose</t>
  </si>
  <si>
    <t>Bourns</t>
  </si>
  <si>
    <t>Inolux</t>
  </si>
  <si>
    <t>Rohm</t>
  </si>
  <si>
    <t>Stackpole Electronics</t>
  </si>
  <si>
    <t>TDK EPCOS</t>
  </si>
  <si>
    <t>KOA Speer</t>
  </si>
  <si>
    <t>Texas Instruments</t>
  </si>
  <si>
    <t>ON Semiconductor</t>
  </si>
  <si>
    <t>Espressif Systems</t>
  </si>
  <si>
    <t>Trinamic</t>
  </si>
  <si>
    <t>Proant</t>
  </si>
  <si>
    <t>Manufacturer</t>
  </si>
  <si>
    <t>Components</t>
  </si>
  <si>
    <t>Capacitors</t>
  </si>
  <si>
    <t>Connectors</t>
  </si>
  <si>
    <t>Inductor</t>
  </si>
  <si>
    <t>Transistor</t>
  </si>
  <si>
    <t>Resistors</t>
  </si>
  <si>
    <t>SWITCH</t>
  </si>
  <si>
    <t>Ics</t>
  </si>
  <si>
    <t>Antenna</t>
  </si>
  <si>
    <t>Diode</t>
  </si>
  <si>
    <t>SS34-E3/57T</t>
  </si>
  <si>
    <t>RC0402FR-07200KL</t>
  </si>
  <si>
    <t>available in 0603 package only</t>
  </si>
  <si>
    <t>Ali express</t>
  </si>
  <si>
    <t>$7.34/lot (20pieces)</t>
  </si>
  <si>
    <t>DO NOT Mount</t>
  </si>
  <si>
    <t xml:space="preserve">CAP CER 4.7UF 10V X5R 0402
</t>
  </si>
  <si>
    <t>Custom</t>
  </si>
  <si>
    <t>-----------</t>
  </si>
  <si>
    <t xml:space="preserve"> 
8-XDFN</t>
  </si>
  <si>
    <t>10MSOP</t>
  </si>
  <si>
    <t>11VQFN</t>
  </si>
  <si>
    <t>JYSMPJDZ</t>
  </si>
  <si>
    <t>-------------</t>
  </si>
  <si>
    <t>R16, RF1, RF2, RF3, R7</t>
  </si>
  <si>
    <t xml:space="preserve">Wireless charging receiver IC Receive universal </t>
  </si>
  <si>
    <t>--------</t>
  </si>
  <si>
    <t>-----------------</t>
  </si>
  <si>
    <t xml:space="preserve">LCSC Part No </t>
  </si>
  <si>
    <t>LCSC/MOQ</t>
  </si>
  <si>
    <t>Link</t>
  </si>
  <si>
    <t>C505472</t>
  </si>
  <si>
    <t>CC0201KRX5R8BB223</t>
  </si>
  <si>
    <t>LCSC</t>
  </si>
  <si>
    <t>LMK105BBJ475MVLF</t>
  </si>
  <si>
    <t>C386043</t>
  </si>
  <si>
    <t>GRM188R61A226ME15D</t>
  </si>
  <si>
    <t>C84419</t>
  </si>
  <si>
    <t>C181044</t>
  </si>
  <si>
    <t>C307385</t>
  </si>
  <si>
    <t>V472K0201X7R250NAT</t>
  </si>
  <si>
    <t>C609931</t>
  </si>
  <si>
    <t>C0201C0G2R7B250NTA</t>
  </si>
  <si>
    <t>C377530</t>
  </si>
  <si>
    <t>C344022</t>
  </si>
  <si>
    <t>--------------</t>
  </si>
  <si>
    <t>C326875</t>
  </si>
  <si>
    <t xml:space="preserve">C506622
</t>
  </si>
  <si>
    <t>C236032</t>
  </si>
  <si>
    <t>CBR04C479C3GAC</t>
  </si>
  <si>
    <t>C13354</t>
  </si>
  <si>
    <t xml:space="preserve">TJ-S1608SW6TGLC2G-A5
</t>
  </si>
  <si>
    <t>C192316</t>
  </si>
  <si>
    <t>C123008</t>
  </si>
  <si>
    <t>C473479</t>
  </si>
  <si>
    <t>0201WMJ0154TEE</t>
  </si>
  <si>
    <t>C295780</t>
  </si>
  <si>
    <t>C295782</t>
  </si>
  <si>
    <t>C106224</t>
  </si>
  <si>
    <t>C423339</t>
  </si>
  <si>
    <t>0201WMJ0563TEE</t>
  </si>
  <si>
    <t>C131396</t>
  </si>
  <si>
    <t xml:space="preserve">RC0201JR-071KL
</t>
  </si>
  <si>
    <t>C114763</t>
  </si>
  <si>
    <t>C138117</t>
  </si>
  <si>
    <t>C274882</t>
  </si>
  <si>
    <t>C423464</t>
  </si>
  <si>
    <t>0201WMF6201TEE</t>
  </si>
  <si>
    <t>C138107</t>
  </si>
  <si>
    <t xml:space="preserve">RC0201JR-072KL
</t>
  </si>
  <si>
    <t>C133237</t>
  </si>
  <si>
    <t>C719823</t>
  </si>
  <si>
    <t>C193707</t>
  </si>
  <si>
    <t>C465949</t>
  </si>
  <si>
    <t>C131334</t>
  </si>
  <si>
    <t>C88374</t>
  </si>
  <si>
    <t>CAP ALUM 47µF, 16 V SMD</t>
  </si>
  <si>
    <t>C19</t>
  </si>
  <si>
    <t>EEEFT1C470AR</t>
  </si>
  <si>
    <t>Panasonic</t>
  </si>
  <si>
    <t>47uF</t>
  </si>
  <si>
    <t>Heisener</t>
  </si>
  <si>
    <t>Quotation pending</t>
  </si>
  <si>
    <t>Arrow</t>
  </si>
  <si>
    <t>TNPW0603320KBEEA</t>
  </si>
  <si>
    <t>quote not confirmed</t>
  </si>
  <si>
    <t>Farnell</t>
  </si>
  <si>
    <t>RS component</t>
  </si>
  <si>
    <t>RES SMD 604K OHM 1% 1/20W 0201</t>
  </si>
  <si>
    <t>RC0201FR-07604KL</t>
  </si>
  <si>
    <t>604K</t>
  </si>
  <si>
    <t xml:space="preserve">RES SMD 107kΩ ±1% 1/20W  0201 </t>
  </si>
  <si>
    <t>0201WMF1073TEE</t>
  </si>
  <si>
    <t>UNI-ROYAL(Uniroyal Elec)</t>
  </si>
  <si>
    <t>107K</t>
  </si>
  <si>
    <t>C7, C10, C12, C14, C15, C16, C17, C20, C25, C33, CF2</t>
  </si>
  <si>
    <t>C8, C13, C21, C22, C28, C34, CF1</t>
  </si>
  <si>
    <t>R15, R20</t>
  </si>
  <si>
    <t>RES 2512</t>
  </si>
  <si>
    <t>RTT25R18JTE</t>
  </si>
  <si>
    <t>RALEC</t>
  </si>
  <si>
    <t>180m</t>
  </si>
  <si>
    <t>C159165</t>
  </si>
  <si>
    <t>C474794</t>
  </si>
  <si>
    <t>Chipmall</t>
  </si>
  <si>
    <t>RES 0.18Ω ±5% 1W ±200ppm/℃ 2512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</si>
</sst>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_-[$$-409]* #,##0.00_ ;_-[$$-409]* \-#,##0.00\ ;_-[$$-409]* &quot;-&quot;??_ ;_-@_ "/>
    <numFmt numFmtId="166" formatCode="_-[$$-409]* #,##0.00000_ ;_-[$$-409]* \-#,##0.00000\ ;_-[$$-409]* &quot;-&quot;?????_ ;_-@_ "/>
    <numFmt numFmtId="167" formatCode="&quot;$&quot;#,##0.0000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4" borderId="4" applyNumberFormat="0" applyAlignment="0" applyProtection="0"/>
  </cellStyleXfs>
  <cellXfs count="157">
    <xf numFmtId="0" fontId="0" fillId="0" borderId="0" xfId="0"/>
    <xf numFmtId="0" fontId="1" fillId="4" borderId="0" xfId="2" applyBorder="1"/>
    <xf numFmtId="165" fontId="7" fillId="3" borderId="0" xfId="0" applyNumberFormat="1" applyFont="1" applyFill="1"/>
    <xf numFmtId="165" fontId="7" fillId="3" borderId="0" xfId="0" applyNumberFormat="1" applyFont="1" applyFill="1" applyBorder="1"/>
    <xf numFmtId="165" fontId="4" fillId="0" borderId="6" xfId="0" applyNumberFormat="1" applyFont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0" fontId="3" fillId="0" borderId="1" xfId="1" applyBorder="1" applyAlignment="1" applyProtection="1">
      <alignment horizontal="center" vertical="center"/>
    </xf>
    <xf numFmtId="0" fontId="4" fillId="0" borderId="2" xfId="0" quotePrefix="1" applyFont="1" applyBorder="1" applyAlignment="1">
      <alignment horizontal="center" vertical="center" wrapText="1"/>
    </xf>
    <xf numFmtId="0" fontId="4" fillId="0" borderId="2" xfId="0" quotePrefix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0" borderId="17" xfId="0" quotePrefix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2" xfId="1" applyFont="1" applyBorder="1" applyAlignment="1" applyProtection="1">
      <alignment horizontal="center" vertical="center"/>
    </xf>
    <xf numFmtId="0" fontId="12" fillId="0" borderId="1" xfId="1" applyFont="1" applyBorder="1" applyAlignment="1" applyProtection="1">
      <alignment horizontal="center" vertical="center"/>
    </xf>
    <xf numFmtId="0" fontId="4" fillId="0" borderId="10" xfId="0" quotePrefix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4" fillId="0" borderId="10" xfId="0" quotePrefix="1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1" fillId="4" borderId="0" xfId="2" applyBorder="1" applyAlignment="1"/>
    <xf numFmtId="0" fontId="4" fillId="0" borderId="8" xfId="0" quotePrefix="1" applyFont="1" applyBorder="1" applyAlignment="1">
      <alignment horizontal="center" vertical="center"/>
    </xf>
    <xf numFmtId="0" fontId="4" fillId="0" borderId="17" xfId="0" quotePrefix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0" fontId="4" fillId="3" borderId="17" xfId="0" quotePrefix="1" applyFont="1" applyFill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/>
    </xf>
    <xf numFmtId="0" fontId="14" fillId="5" borderId="20" xfId="0" quotePrefix="1" applyFont="1" applyFill="1" applyBorder="1" applyAlignment="1">
      <alignment horizontal="center" vertical="center" wrapText="1"/>
    </xf>
    <xf numFmtId="0" fontId="14" fillId="5" borderId="1" xfId="0" quotePrefix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quotePrefix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3" borderId="10" xfId="0" quotePrefix="1" applyFont="1" applyFill="1" applyBorder="1" applyAlignment="1">
      <alignment horizontal="center" vertical="center" wrapText="1"/>
    </xf>
    <xf numFmtId="0" fontId="10" fillId="0" borderId="17" xfId="0" quotePrefix="1" applyFont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 wrapText="1"/>
    </xf>
    <xf numFmtId="0" fontId="4" fillId="3" borderId="13" xfId="0" quotePrefix="1" applyFont="1" applyFill="1" applyBorder="1" applyAlignment="1">
      <alignment horizontal="center" vertical="center" wrapText="1"/>
    </xf>
    <xf numFmtId="0" fontId="4" fillId="0" borderId="13" xfId="0" quotePrefix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/>
    </xf>
    <xf numFmtId="0" fontId="14" fillId="5" borderId="8" xfId="0" quotePrefix="1" applyFont="1" applyFill="1" applyBorder="1" applyAlignment="1">
      <alignment horizontal="center" vertical="center" wrapText="1"/>
    </xf>
    <xf numFmtId="0" fontId="14" fillId="5" borderId="8" xfId="0" quotePrefix="1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166" fontId="4" fillId="0" borderId="12" xfId="0" applyNumberFormat="1" applyFont="1" applyFill="1" applyBorder="1" applyAlignment="1">
      <alignment horizontal="center" vertical="center"/>
    </xf>
    <xf numFmtId="166" fontId="4" fillId="0" borderId="20" xfId="0" applyNumberFormat="1" applyFont="1" applyFill="1" applyBorder="1" applyAlignment="1">
      <alignment horizontal="center" vertical="center"/>
    </xf>
    <xf numFmtId="166" fontId="4" fillId="0" borderId="14" xfId="0" applyNumberFormat="1" applyFont="1" applyFill="1" applyBorder="1" applyAlignment="1">
      <alignment horizontal="center" vertical="center"/>
    </xf>
    <xf numFmtId="166" fontId="4" fillId="0" borderId="16" xfId="0" applyNumberFormat="1" applyFont="1" applyFill="1" applyBorder="1" applyAlignment="1">
      <alignment horizontal="center" vertical="center"/>
    </xf>
    <xf numFmtId="166" fontId="4" fillId="0" borderId="24" xfId="0" applyNumberFormat="1" applyFont="1" applyFill="1" applyBorder="1" applyAlignment="1">
      <alignment horizontal="center" vertical="center"/>
    </xf>
    <xf numFmtId="166" fontId="4" fillId="0" borderId="31" xfId="0" applyNumberFormat="1" applyFont="1" applyFill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 wrapText="1"/>
    </xf>
    <xf numFmtId="165" fontId="15" fillId="5" borderId="3" xfId="0" applyNumberFormat="1" applyFont="1" applyFill="1" applyBorder="1" applyAlignment="1">
      <alignment horizontal="center" vertical="center"/>
    </xf>
    <xf numFmtId="165" fontId="15" fillId="5" borderId="9" xfId="0" applyNumberFormat="1" applyFont="1" applyFill="1" applyBorder="1" applyAlignment="1">
      <alignment horizontal="center" vertical="center"/>
    </xf>
    <xf numFmtId="165" fontId="4" fillId="0" borderId="32" xfId="0" applyNumberFormat="1" applyFont="1" applyBorder="1" applyAlignment="1">
      <alignment horizontal="center" vertical="center"/>
    </xf>
    <xf numFmtId="0" fontId="4" fillId="0" borderId="12" xfId="0" quotePrefix="1" applyFont="1" applyBorder="1" applyAlignment="1">
      <alignment horizontal="left" vertical="center" wrapText="1"/>
    </xf>
    <xf numFmtId="0" fontId="4" fillId="0" borderId="20" xfId="0" quotePrefix="1" applyFont="1" applyBorder="1" applyAlignment="1">
      <alignment horizontal="left" vertical="center"/>
    </xf>
    <xf numFmtId="0" fontId="4" fillId="0" borderId="20" xfId="0" quotePrefix="1" applyFont="1" applyBorder="1" applyAlignment="1">
      <alignment horizontal="left" vertical="center" wrapText="1"/>
    </xf>
    <xf numFmtId="0" fontId="4" fillId="0" borderId="14" xfId="0" quotePrefix="1" applyFont="1" applyBorder="1" applyAlignment="1">
      <alignment horizontal="left" vertical="center" wrapText="1"/>
    </xf>
    <xf numFmtId="0" fontId="4" fillId="0" borderId="16" xfId="0" quotePrefix="1" applyFont="1" applyBorder="1" applyAlignment="1">
      <alignment horizontal="left" vertical="center" wrapText="1"/>
    </xf>
    <xf numFmtId="0" fontId="4" fillId="0" borderId="24" xfId="0" quotePrefix="1" applyFont="1" applyBorder="1" applyAlignment="1">
      <alignment horizontal="left" vertical="center" wrapText="1"/>
    </xf>
    <xf numFmtId="0" fontId="4" fillId="0" borderId="31" xfId="0" quotePrefix="1" applyFont="1" applyBorder="1" applyAlignment="1">
      <alignment horizontal="left" vertical="center" wrapText="1"/>
    </xf>
    <xf numFmtId="0" fontId="14" fillId="5" borderId="20" xfId="0" quotePrefix="1" applyFont="1" applyFill="1" applyBorder="1" applyAlignment="1">
      <alignment horizontal="left" vertical="center" wrapText="1"/>
    </xf>
    <xf numFmtId="0" fontId="14" fillId="5" borderId="24" xfId="0" quotePrefix="1" applyFont="1" applyFill="1" applyBorder="1" applyAlignment="1">
      <alignment horizontal="left" vertical="center" wrapText="1"/>
    </xf>
    <xf numFmtId="165" fontId="7" fillId="3" borderId="0" xfId="0" applyNumberFormat="1" applyFont="1" applyFill="1" applyBorder="1" applyAlignment="1">
      <alignment horizontal="left"/>
    </xf>
    <xf numFmtId="0" fontId="1" fillId="4" borderId="0" xfId="2" applyBorder="1" applyAlignment="1">
      <alignment horizontal="left"/>
    </xf>
    <xf numFmtId="0" fontId="4" fillId="0" borderId="12" xfId="0" quotePrefix="1" applyFont="1" applyBorder="1" applyAlignment="1">
      <alignment horizontal="left" vertical="center"/>
    </xf>
    <xf numFmtId="0" fontId="4" fillId="3" borderId="2" xfId="0" quotePrefix="1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3" fillId="0" borderId="2" xfId="1" applyBorder="1" applyAlignment="1" applyProtection="1">
      <alignment horizontal="center" vertical="center"/>
    </xf>
    <xf numFmtId="167" fontId="2" fillId="2" borderId="19" xfId="0" applyNumberFormat="1" applyFont="1" applyFill="1" applyBorder="1" applyAlignment="1">
      <alignment horizontal="center" vertical="center"/>
    </xf>
    <xf numFmtId="167" fontId="4" fillId="0" borderId="2" xfId="0" applyNumberFormat="1" applyFont="1" applyFill="1" applyBorder="1" applyAlignment="1">
      <alignment horizontal="center" vertical="center"/>
    </xf>
    <xf numFmtId="167" fontId="10" fillId="0" borderId="1" xfId="2" applyNumberFormat="1" applyFont="1" applyFill="1" applyBorder="1" applyAlignment="1">
      <alignment horizontal="center" vertical="center"/>
    </xf>
    <xf numFmtId="167" fontId="4" fillId="3" borderId="1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Fill="1" applyBorder="1" applyAlignment="1">
      <alignment horizontal="center" vertical="center"/>
    </xf>
    <xf numFmtId="167" fontId="11" fillId="0" borderId="1" xfId="0" applyNumberFormat="1" applyFont="1" applyBorder="1" applyAlignment="1">
      <alignment horizontal="center" vertical="center"/>
    </xf>
    <xf numFmtId="167" fontId="4" fillId="0" borderId="10" xfId="0" applyNumberFormat="1" applyFont="1" applyBorder="1" applyAlignment="1">
      <alignment horizontal="center" vertical="center"/>
    </xf>
    <xf numFmtId="167" fontId="4" fillId="0" borderId="17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167" fontId="4" fillId="0" borderId="13" xfId="0" applyNumberFormat="1" applyFont="1" applyBorder="1" applyAlignment="1">
      <alignment horizontal="center" vertical="center"/>
    </xf>
    <xf numFmtId="167" fontId="14" fillId="5" borderId="1" xfId="0" quotePrefix="1" applyNumberFormat="1" applyFont="1" applyFill="1" applyBorder="1" applyAlignment="1">
      <alignment horizontal="center" vertical="center"/>
    </xf>
    <xf numFmtId="167" fontId="14" fillId="5" borderId="8" xfId="0" quotePrefix="1" applyNumberFormat="1" applyFont="1" applyFill="1" applyBorder="1" applyAlignment="1">
      <alignment horizontal="center" vertical="center" wrapText="1"/>
    </xf>
    <xf numFmtId="167" fontId="1" fillId="4" borderId="0" xfId="2" applyNumberFormat="1" applyBorder="1"/>
    <xf numFmtId="0" fontId="3" fillId="0" borderId="10" xfId="1" applyBorder="1" applyAlignment="1" applyProtection="1">
      <alignment horizontal="center" vertical="center"/>
    </xf>
    <xf numFmtId="0" fontId="3" fillId="0" borderId="17" xfId="1" applyBorder="1" applyAlignment="1" applyProtection="1">
      <alignment horizontal="center" vertical="center"/>
    </xf>
    <xf numFmtId="0" fontId="3" fillId="0" borderId="8" xfId="1" applyBorder="1" applyAlignment="1" applyProtection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7" fontId="4" fillId="0" borderId="3" xfId="0" applyNumberFormat="1" applyFont="1" applyBorder="1" applyAlignment="1">
      <alignment horizontal="center" vertical="center"/>
    </xf>
    <xf numFmtId="167" fontId="4" fillId="3" borderId="3" xfId="0" applyNumberFormat="1" applyFont="1" applyFill="1" applyBorder="1" applyAlignment="1">
      <alignment horizontal="center" vertical="center"/>
    </xf>
    <xf numFmtId="167" fontId="4" fillId="0" borderId="3" xfId="0" applyNumberFormat="1" applyFont="1" applyFill="1" applyBorder="1" applyAlignment="1">
      <alignment horizontal="center" vertical="center"/>
    </xf>
    <xf numFmtId="167" fontId="4" fillId="0" borderId="18" xfId="0" applyNumberFormat="1" applyFont="1" applyBorder="1" applyAlignment="1">
      <alignment horizontal="center" vertical="center"/>
    </xf>
    <xf numFmtId="167" fontId="4" fillId="0" borderId="6" xfId="0" applyNumberFormat="1" applyFont="1" applyFill="1" applyBorder="1" applyAlignment="1">
      <alignment horizontal="center" vertical="center"/>
    </xf>
    <xf numFmtId="167" fontId="4" fillId="0" borderId="9" xfId="0" applyNumberFormat="1" applyFont="1" applyBorder="1" applyAlignment="1">
      <alignment horizontal="center" vertical="center"/>
    </xf>
    <xf numFmtId="167" fontId="4" fillId="0" borderId="32" xfId="0" applyNumberFormat="1" applyFont="1" applyBorder="1" applyAlignment="1">
      <alignment horizontal="center" vertical="center"/>
    </xf>
    <xf numFmtId="167" fontId="7" fillId="3" borderId="0" xfId="0" applyNumberFormat="1" applyFont="1" applyFill="1" applyBorder="1"/>
    <xf numFmtId="167" fontId="6" fillId="3" borderId="0" xfId="0" applyNumberFormat="1" applyFont="1" applyFill="1"/>
    <xf numFmtId="167" fontId="7" fillId="3" borderId="5" xfId="0" applyNumberFormat="1" applyFont="1" applyFill="1" applyBorder="1" applyAlignment="1">
      <alignment horizontal="center"/>
    </xf>
    <xf numFmtId="166" fontId="4" fillId="0" borderId="28" xfId="0" applyNumberFormat="1" applyFont="1" applyFill="1" applyBorder="1" applyAlignment="1">
      <alignment horizontal="center" vertical="center"/>
    </xf>
    <xf numFmtId="166" fontId="4" fillId="0" borderId="33" xfId="0" applyNumberFormat="1" applyFont="1" applyFill="1" applyBorder="1" applyAlignment="1">
      <alignment horizontal="center" vertical="center"/>
    </xf>
    <xf numFmtId="166" fontId="4" fillId="0" borderId="1" xfId="0" applyNumberFormat="1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 wrapText="1"/>
    </xf>
    <xf numFmtId="0" fontId="1" fillId="0" borderId="0" xfId="2" applyFill="1" applyBorder="1"/>
    <xf numFmtId="0" fontId="16" fillId="0" borderId="0" xfId="2" applyFont="1" applyFill="1" applyBorder="1" applyAlignment="1">
      <alignment horizontal="center"/>
    </xf>
    <xf numFmtId="0" fontId="3" fillId="0" borderId="13" xfId="1" applyBorder="1" applyAlignment="1" applyProtection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164" fontId="4" fillId="0" borderId="20" xfId="0" applyNumberFormat="1" applyFont="1" applyFill="1" applyBorder="1" applyAlignment="1">
      <alignment horizontal="center" vertical="center"/>
    </xf>
    <xf numFmtId="0" fontId="4" fillId="0" borderId="34" xfId="0" quotePrefix="1" applyFont="1" applyBorder="1" applyAlignment="1">
      <alignment horizontal="center" vertical="center" wrapText="1"/>
    </xf>
    <xf numFmtId="0" fontId="3" fillId="0" borderId="34" xfId="1" applyBorder="1" applyAlignment="1" applyProtection="1">
      <alignment horizontal="center" vertical="center"/>
    </xf>
    <xf numFmtId="167" fontId="4" fillId="0" borderId="34" xfId="0" applyNumberFormat="1" applyFont="1" applyBorder="1" applyAlignment="1">
      <alignment horizontal="center" vertical="center"/>
    </xf>
    <xf numFmtId="165" fontId="4" fillId="0" borderId="35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0" xfId="2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wrapText="1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wrapText="1"/>
    </xf>
    <xf numFmtId="0" fontId="13" fillId="0" borderId="21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6" fillId="0" borderId="0" xfId="2" applyFont="1" applyFill="1" applyBorder="1" applyAlignment="1">
      <alignment horizontal="center" vertical="center"/>
    </xf>
  </cellXfs>
  <cellStyles count="3">
    <cellStyle name="Check Cell" xfId="2" builtinId="23"/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Schottky-Barrier-Diodes-SBD_Vishay-Intertech-SS34-E3-57T_C13354.html" TargetMode="External"/><Relationship Id="rId18" Type="http://schemas.openxmlformats.org/officeDocument/2006/relationships/hyperlink" Target="https://lcsc.com/product-detail/Others_YAGEO-RC0201FR-071K1L_C295782.html" TargetMode="External"/><Relationship Id="rId26" Type="http://schemas.openxmlformats.org/officeDocument/2006/relationships/hyperlink" Target="https://lcsc.com/product-detail/Chip-Resistor-Surface-Mount_2KR-202-5_C138107.html" TargetMode="External"/><Relationship Id="rId39" Type="http://schemas.openxmlformats.org/officeDocument/2006/relationships/hyperlink" Target="https://www.heisener.com/ProductDetail/TPS61089RNRT" TargetMode="External"/><Relationship Id="rId21" Type="http://schemas.openxmlformats.org/officeDocument/2006/relationships/hyperlink" Target="https://lcsc.com/product-detail/Chip-Resistor-Surface-Mount_1KR-102-5_C131396.html" TargetMode="External"/><Relationship Id="rId34" Type="http://schemas.openxmlformats.org/officeDocument/2006/relationships/hyperlink" Target="https://www.heisener.com/ProductDetail/SRU8028-220Y" TargetMode="External"/><Relationship Id="rId42" Type="http://schemas.openxmlformats.org/officeDocument/2006/relationships/hyperlink" Target="https://lcsc.com/product-detail/Chip-Resistor-Surface-Mount_YAGEO-RC0201FR-07604KL_C474794.html" TargetMode="External"/><Relationship Id="rId7" Type="http://schemas.openxmlformats.org/officeDocument/2006/relationships/hyperlink" Target="https://lcsc.com/product-detail/Multilayer-Ceramic-Capacitors-MLCC-SMD-SMT_VIIYONG-V472K0201X7R250NAT_C609931.html" TargetMode="External"/><Relationship Id="rId2" Type="http://schemas.openxmlformats.org/officeDocument/2006/relationships/hyperlink" Target="https://lcsc.com/product-detail/Multilayer-Ceramic-Capacitors-MLCC-SMD-SMT_YAGEO-CC0201KRX5R8BB223_C505472.html" TargetMode="External"/><Relationship Id="rId16" Type="http://schemas.openxmlformats.org/officeDocument/2006/relationships/hyperlink" Target="https://lcsc.com/product-detail/Chip-Resistor-Surface-Mount_UNI-ROYAL-Uniroyal-Elec-0201WMJ0154TEE_C473479.html" TargetMode="External"/><Relationship Id="rId20" Type="http://schemas.openxmlformats.org/officeDocument/2006/relationships/hyperlink" Target="https://lcsc.com/product-detail/New-Arrivals_UNI-ROYAL-Uniroyal-Elec-0201WMJ0563TEE_C423339.html" TargetMode="External"/><Relationship Id="rId29" Type="http://schemas.openxmlformats.org/officeDocument/2006/relationships/hyperlink" Target="https://lcsc.com/product-detail/Others_Espressif-Systems-ESP32-PICO-D4_C193707.html" TargetMode="External"/><Relationship Id="rId41" Type="http://schemas.openxmlformats.org/officeDocument/2006/relationships/hyperlink" Target="https://lcsc.com/product-detail/Wire-To-Board-Wire-To-Wire-Connector_JST-Sales-America-B3B-PH-K-S-LF-SN_C131339.html" TargetMode="External"/><Relationship Id="rId1" Type="http://schemas.openxmlformats.org/officeDocument/2006/relationships/hyperlink" Target="https://www.aliexpress.com/item/4000294177041.html" TargetMode="External"/><Relationship Id="rId6" Type="http://schemas.openxmlformats.org/officeDocument/2006/relationships/hyperlink" Target="https://lcsc.com/product-detail/Others_Samsung-Electro-Mechanics_CL03A105MO3NRNH_Samsung-Electro-Mechanics-CL03A105MO3NRNH_C307385.html" TargetMode="External"/><Relationship Id="rId11" Type="http://schemas.openxmlformats.org/officeDocument/2006/relationships/hyperlink" Target="https://lcsc.com/product-detail/Tantalum-Capacitors_Vishay-Intertech-293D106X0025C2TE3_C506622.html" TargetMode="External"/><Relationship Id="rId24" Type="http://schemas.openxmlformats.org/officeDocument/2006/relationships/hyperlink" Target="https://lcsc.com/product-detail/Others_YAGEO-RC0201JR-071K2L_C274882.html" TargetMode="External"/><Relationship Id="rId32" Type="http://schemas.openxmlformats.org/officeDocument/2006/relationships/hyperlink" Target="https://lcsc.com/product-detail/RF-Connectors-Coaxial-Connectors_HRS-Hirose-HRS-U-FL-R-SMT-1-80_C88374.html" TargetMode="External"/><Relationship Id="rId37" Type="http://schemas.openxmlformats.org/officeDocument/2006/relationships/hyperlink" Target="https://bde-ltd.com/product/tnpw0603320kbeea/" TargetMode="External"/><Relationship Id="rId40" Type="http://schemas.openxmlformats.org/officeDocument/2006/relationships/hyperlink" Target="https://uk.rs-online.com/web/p/wifi-antennas/1258163/?cjevent=867ac87c25576c3da26f03f29903c32627c1a0c5236f59792&amp;cm_mmc=UK-CJAFF-_-digipart.com-_-RS++RS+Components+UK" TargetMode="External"/><Relationship Id="rId5" Type="http://schemas.openxmlformats.org/officeDocument/2006/relationships/hyperlink" Target="https://lcsc.com/product-detail/New-Arrivals_Murata-Electronics-GRM033R6YA104ME14D_C181044.html" TargetMode="External"/><Relationship Id="rId15" Type="http://schemas.openxmlformats.org/officeDocument/2006/relationships/hyperlink" Target="https://lcsc.com/product-detail/Digital-Transistors_ROHM_UMH3NTN_UMH3NTN_C123008.html" TargetMode="External"/><Relationship Id="rId23" Type="http://schemas.openxmlformats.org/officeDocument/2006/relationships/hyperlink" Target="https://lcsc.com/product-detail/Chip-Resistor-Surface-Mount_YAGEO-RC0201JR-0710KL_C138117.html" TargetMode="External"/><Relationship Id="rId28" Type="http://schemas.openxmlformats.org/officeDocument/2006/relationships/hyperlink" Target="https://lcsc.com/product-detail/Dropout-Regulators-LDO_ON-Semiconductor-ON-NCP186AMX330TAG_C719823.html" TargetMode="External"/><Relationship Id="rId36" Type="http://schemas.openxmlformats.org/officeDocument/2006/relationships/hyperlink" Target="https://www.arrow.com/en/products/b57230v2103f260/epcos-tdk?region=nac&amp;utm_term=B57230V2103F260&amp;utm_source=digipart&amp;utm_medium=aggregator&amp;utm_campaign=digipart_2018&amp;utm_content=inv_listing" TargetMode="External"/><Relationship Id="rId10" Type="http://schemas.openxmlformats.org/officeDocument/2006/relationships/hyperlink" Target="https://lcsc.com/product-detail/Multilayer-Ceramic-Capacitors-MLCC-SMD-SMT_YAGEO-CC0201KRX7R8BB103_C326875.html" TargetMode="External"/><Relationship Id="rId19" Type="http://schemas.openxmlformats.org/officeDocument/2006/relationships/hyperlink" Target="https://lcsc.com/product-detail/Chip-Resistor-Surface-Mount_YAGEO-RC0201FR-07100KL_C106224.html" TargetMode="External"/><Relationship Id="rId31" Type="http://schemas.openxmlformats.org/officeDocument/2006/relationships/hyperlink" Target="https://lcsc.com/product-detail/Wire-To-Board-Wire-To-Wire-Connector_JST-Sales-America-B4B-PH-K-S-LF-SN_C131334.html" TargetMode="External"/><Relationship Id="rId4" Type="http://schemas.openxmlformats.org/officeDocument/2006/relationships/hyperlink" Target="https://lcsc.com/product-detail/Multilayer-Ceramic-Capacitors-MLCC-SMD-SMT_Murata-Electronics-GRM188R61A226ME15D_C84419.html" TargetMode="External"/><Relationship Id="rId9" Type="http://schemas.openxmlformats.org/officeDocument/2006/relationships/hyperlink" Target="https://lcsc.com/product-detail/Multilayer-Ceramic-Capacitors-MLCC-SMD-SMT_Murata-Electronics-GRM188R61E106KA73D_C344022.html" TargetMode="External"/><Relationship Id="rId14" Type="http://schemas.openxmlformats.org/officeDocument/2006/relationships/hyperlink" Target="https://lcsc.com/product-detail/Light-Emitting-Diodes-LED_TOGIALED-TJ-S1608SW6TGLC2G-A5_C192316.html" TargetMode="External"/><Relationship Id="rId22" Type="http://schemas.openxmlformats.org/officeDocument/2006/relationships/hyperlink" Target="https://lcsc.com/product-detail/Chip-Resistor-Surface-Mount_YAGEO-RC0402FR-07200KL_C114763.html" TargetMode="External"/><Relationship Id="rId27" Type="http://schemas.openxmlformats.org/officeDocument/2006/relationships/hyperlink" Target="https://lcsc.com/product-detail/PMIC-Battery-Management_Texas-Instruments-Texas-Instruments-BQ24092DGQR_C133237.html" TargetMode="External"/><Relationship Id="rId30" Type="http://schemas.openxmlformats.org/officeDocument/2006/relationships/hyperlink" Target="https://lcsc.com/product-detail/Motor-Drivers_TRINAMIC-Motion-Control-GmbH-TMC2209-LA_C465949.html" TargetMode="External"/><Relationship Id="rId35" Type="http://schemas.openxmlformats.org/officeDocument/2006/relationships/hyperlink" Target="https://www.heisener.com/ProductDetail/HLC021R6BTTR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lcsc.com/product-detail/Multilayer-Ceramic-Capacitors-MLCC-SMD-SMT_EYANG-Shenzhen-Eyang-Tech-Development-C0201C0G2R7B250NTA_C377530.html" TargetMode="External"/><Relationship Id="rId3" Type="http://schemas.openxmlformats.org/officeDocument/2006/relationships/hyperlink" Target="https://lcsc.com/product-detail/Multilayer-Ceramic-Capacitors-MLCC-SMD-SMT_Taiyo-Yuden-LMK105BBJ475MVLF_C386043.html" TargetMode="External"/><Relationship Id="rId12" Type="http://schemas.openxmlformats.org/officeDocument/2006/relationships/hyperlink" Target="https://lcsc.com/product-detail/Multilayer-Ceramic-Capacitors-MLCC-SMD-SMT_KEMET-CBR04C479C3GAC_C236032.html" TargetMode="External"/><Relationship Id="rId17" Type="http://schemas.openxmlformats.org/officeDocument/2006/relationships/hyperlink" Target="https://lcsc.com/product-detail/Others_YAGEO-RC0201FR-0718KL_C295780.html" TargetMode="External"/><Relationship Id="rId25" Type="http://schemas.openxmlformats.org/officeDocument/2006/relationships/hyperlink" Target="https://lcsc.com/product-detail/New-Arrivals_UNI-ROYAL-Uniroyal-Elec-0201WMF6201TEE_C423464.html" TargetMode="External"/><Relationship Id="rId33" Type="http://schemas.openxmlformats.org/officeDocument/2006/relationships/hyperlink" Target="https://lcsc.com/product-detail/Aluminum-Electrolytic-Capacitors-SMD_PANASONIC-EEEFT1C470AR_C178589.html" TargetMode="External"/><Relationship Id="rId38" Type="http://schemas.openxmlformats.org/officeDocument/2006/relationships/hyperlink" Target="https://uk.farnell.com/wurth-elektronik/434121025816/switch-160gf-6x3-8x2-5mm-blk-smd/dp/1867991?cjevent=53d03d63e2f311eb801b02190a180510&amp;cjdata=MXxOfDB8WXww&amp;CMP=AFC-CJ-UK-6455582&amp;source=C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topLeftCell="H17" zoomScale="85" zoomScaleNormal="85" workbookViewId="0">
      <selection activeCell="C32" sqref="C32"/>
    </sheetView>
  </sheetViews>
  <sheetFormatPr defaultRowHeight="15" x14ac:dyDescent="0.25"/>
  <cols>
    <col min="1" max="1" width="6.7109375" style="1" bestFit="1" customWidth="1"/>
    <col min="2" max="2" width="23.42578125" style="1" customWidth="1"/>
    <col min="3" max="3" width="39.28515625" style="89" bestFit="1" customWidth="1"/>
    <col min="4" max="4" width="23.42578125" style="1" customWidth="1"/>
    <col min="5" max="5" width="20.5703125" style="1" bestFit="1" customWidth="1"/>
    <col min="6" max="6" width="28.42578125" style="1" bestFit="1" customWidth="1"/>
    <col min="7" max="7" width="19.85546875" style="1" bestFit="1" customWidth="1"/>
    <col min="8" max="8" width="19.85546875" style="1" customWidth="1"/>
    <col min="9" max="9" width="20.85546875" style="1" bestFit="1" customWidth="1"/>
    <col min="10" max="10" width="8.42578125" style="1" bestFit="1" customWidth="1"/>
    <col min="11" max="11" width="11.85546875" style="1" bestFit="1" customWidth="1"/>
    <col min="12" max="12" width="22.140625" style="1" bestFit="1" customWidth="1"/>
    <col min="13" max="13" width="13.85546875" style="1" bestFit="1" customWidth="1"/>
    <col min="14" max="14" width="9.7109375" style="1" bestFit="1" customWidth="1"/>
    <col min="15" max="15" width="12.7109375" style="110" bestFit="1" customWidth="1"/>
    <col min="16" max="16" width="13.7109375" style="110" bestFit="1" customWidth="1"/>
    <col min="17" max="17" width="23" style="110" customWidth="1"/>
    <col min="18" max="18" width="23" style="1" customWidth="1"/>
    <col min="19" max="19" width="31.42578125" style="1" customWidth="1"/>
    <col min="20" max="16384" width="9.140625" style="1"/>
  </cols>
  <sheetData>
    <row r="1" spans="1:19" ht="16.5" thickBot="1" x14ac:dyDescent="0.3">
      <c r="A1" s="143" t="s">
        <v>16</v>
      </c>
      <c r="B1" s="144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6"/>
      <c r="R1" s="67"/>
      <c r="S1" s="52"/>
    </row>
    <row r="2" spans="1:19" ht="16.5" thickBot="1" x14ac:dyDescent="0.3">
      <c r="A2" s="54" t="s">
        <v>0</v>
      </c>
      <c r="B2" s="92" t="s">
        <v>210</v>
      </c>
      <c r="C2" s="54" t="s">
        <v>1</v>
      </c>
      <c r="D2" s="54" t="s">
        <v>2</v>
      </c>
      <c r="E2" s="54" t="s">
        <v>3</v>
      </c>
      <c r="F2" s="54" t="s">
        <v>4</v>
      </c>
      <c r="G2" s="54" t="s">
        <v>209</v>
      </c>
      <c r="H2" s="54" t="s">
        <v>238</v>
      </c>
      <c r="I2" s="54" t="s">
        <v>13</v>
      </c>
      <c r="J2" s="54" t="s">
        <v>5</v>
      </c>
      <c r="K2" s="54" t="s">
        <v>239</v>
      </c>
      <c r="L2" s="54" t="s">
        <v>10</v>
      </c>
      <c r="M2" s="54" t="s">
        <v>14</v>
      </c>
      <c r="N2" s="93" t="s">
        <v>240</v>
      </c>
      <c r="O2" s="96" t="s">
        <v>8</v>
      </c>
      <c r="P2" s="96" t="s">
        <v>9</v>
      </c>
      <c r="Q2" s="96" t="s">
        <v>15</v>
      </c>
      <c r="R2" s="53" t="s">
        <v>17</v>
      </c>
      <c r="S2" s="54" t="s">
        <v>12</v>
      </c>
    </row>
    <row r="3" spans="1:19" ht="15.75" thickBot="1" x14ac:dyDescent="0.3">
      <c r="A3" s="94">
        <v>1</v>
      </c>
      <c r="B3" s="148" t="s">
        <v>211</v>
      </c>
      <c r="C3" s="79" t="s">
        <v>24</v>
      </c>
      <c r="D3" s="10" t="s">
        <v>65</v>
      </c>
      <c r="E3" s="10" t="s">
        <v>104</v>
      </c>
      <c r="F3" s="40" t="s">
        <v>132</v>
      </c>
      <c r="G3" s="10" t="s">
        <v>187</v>
      </c>
      <c r="H3" s="10" t="s">
        <v>241</v>
      </c>
      <c r="I3" s="11" t="s">
        <v>242</v>
      </c>
      <c r="J3" s="10" t="s">
        <v>162</v>
      </c>
      <c r="K3" s="10">
        <v>100</v>
      </c>
      <c r="L3" s="12">
        <v>2</v>
      </c>
      <c r="M3" s="13">
        <f>L3*5</f>
        <v>10</v>
      </c>
      <c r="N3" s="95" t="s">
        <v>243</v>
      </c>
      <c r="O3" s="97">
        <v>3.7000000000000002E-3</v>
      </c>
      <c r="P3" s="106">
        <f>O3*K3</f>
        <v>0.37</v>
      </c>
      <c r="Q3" s="114">
        <v>3.7000000000000002E-3</v>
      </c>
      <c r="R3" s="68">
        <f>Q3*K3</f>
        <v>0.37</v>
      </c>
      <c r="S3" s="4"/>
    </row>
    <row r="4" spans="1:19" s="36" customFormat="1" ht="15.75" thickBot="1" x14ac:dyDescent="0.3">
      <c r="A4" s="94">
        <v>2</v>
      </c>
      <c r="B4" s="151"/>
      <c r="C4" s="80" t="s">
        <v>226</v>
      </c>
      <c r="D4" s="35" t="s">
        <v>66</v>
      </c>
      <c r="E4" s="35" t="s">
        <v>105</v>
      </c>
      <c r="F4" s="18" t="s">
        <v>133</v>
      </c>
      <c r="G4" s="35" t="s">
        <v>188</v>
      </c>
      <c r="H4" s="35" t="s">
        <v>245</v>
      </c>
      <c r="I4" s="15" t="s">
        <v>244</v>
      </c>
      <c r="J4" s="35" t="s">
        <v>163</v>
      </c>
      <c r="K4" s="35">
        <v>50</v>
      </c>
      <c r="L4" s="27">
        <v>6</v>
      </c>
      <c r="M4" s="17">
        <f>L4*5</f>
        <v>30</v>
      </c>
      <c r="N4" s="9" t="s">
        <v>243</v>
      </c>
      <c r="O4" s="98">
        <v>9.9000000000000008E-3</v>
      </c>
      <c r="P4" s="106">
        <f t="shared" ref="P4:P45" si="0">O4*K4</f>
        <v>0.49500000000000005</v>
      </c>
      <c r="Q4" s="98">
        <v>9.9000000000000008E-3</v>
      </c>
      <c r="R4" s="68">
        <f t="shared" ref="R4:R6" si="1">Q4*K4</f>
        <v>0.49500000000000005</v>
      </c>
      <c r="S4" s="6"/>
    </row>
    <row r="5" spans="1:19" ht="15.75" thickBot="1" x14ac:dyDescent="0.3">
      <c r="A5" s="94">
        <v>3</v>
      </c>
      <c r="B5" s="151"/>
      <c r="C5" s="81" t="s">
        <v>25</v>
      </c>
      <c r="D5" s="14" t="s">
        <v>67</v>
      </c>
      <c r="E5" s="14" t="s">
        <v>106</v>
      </c>
      <c r="F5" s="41" t="s">
        <v>134</v>
      </c>
      <c r="G5" s="14" t="s">
        <v>188</v>
      </c>
      <c r="H5" s="14" t="s">
        <v>247</v>
      </c>
      <c r="I5" s="15" t="s">
        <v>246</v>
      </c>
      <c r="J5" s="14" t="s">
        <v>164</v>
      </c>
      <c r="K5" s="14">
        <v>10</v>
      </c>
      <c r="L5" s="16">
        <v>2</v>
      </c>
      <c r="M5" s="17">
        <f t="shared" ref="M5:M44" si="2">L5*5</f>
        <v>10</v>
      </c>
      <c r="N5" s="9" t="s">
        <v>243</v>
      </c>
      <c r="O5" s="99">
        <v>4.0599999999999997E-2</v>
      </c>
      <c r="P5" s="106">
        <f t="shared" si="0"/>
        <v>0.40599999999999997</v>
      </c>
      <c r="Q5" s="99">
        <v>4.0599999999999997E-2</v>
      </c>
      <c r="R5" s="68">
        <f t="shared" si="1"/>
        <v>0.40599999999999997</v>
      </c>
      <c r="S5" s="5"/>
    </row>
    <row r="6" spans="1:19" ht="26.25" thickBot="1" x14ac:dyDescent="0.3">
      <c r="A6" s="94">
        <v>4</v>
      </c>
      <c r="B6" s="151"/>
      <c r="C6" s="81" t="s">
        <v>26</v>
      </c>
      <c r="D6" s="14" t="s">
        <v>305</v>
      </c>
      <c r="E6" s="14" t="s">
        <v>104</v>
      </c>
      <c r="F6" s="41" t="s">
        <v>135</v>
      </c>
      <c r="G6" s="14" t="s">
        <v>188</v>
      </c>
      <c r="H6" s="14" t="s">
        <v>248</v>
      </c>
      <c r="I6" s="15" t="s">
        <v>255</v>
      </c>
      <c r="J6" s="14" t="s">
        <v>165</v>
      </c>
      <c r="K6" s="14">
        <v>50</v>
      </c>
      <c r="L6" s="16">
        <v>11</v>
      </c>
      <c r="M6" s="17">
        <f>L6*5</f>
        <v>55</v>
      </c>
      <c r="N6" s="9" t="s">
        <v>243</v>
      </c>
      <c r="O6" s="100">
        <v>1.15E-2</v>
      </c>
      <c r="P6" s="106">
        <f t="shared" si="0"/>
        <v>0.57499999999999996</v>
      </c>
      <c r="Q6" s="100">
        <v>1.15E-2</v>
      </c>
      <c r="R6" s="68">
        <f t="shared" si="1"/>
        <v>0.57499999999999996</v>
      </c>
      <c r="S6" s="5"/>
    </row>
    <row r="7" spans="1:19" ht="26.25" thickBot="1" x14ac:dyDescent="0.3">
      <c r="A7" s="94">
        <v>5</v>
      </c>
      <c r="B7" s="151"/>
      <c r="C7" s="81" t="s">
        <v>27</v>
      </c>
      <c r="D7" s="14" t="s">
        <v>306</v>
      </c>
      <c r="E7" s="14" t="s">
        <v>104</v>
      </c>
      <c r="F7" s="41" t="s">
        <v>136</v>
      </c>
      <c r="G7" s="14" t="s">
        <v>189</v>
      </c>
      <c r="H7" s="14" t="s">
        <v>249</v>
      </c>
      <c r="I7" s="15" t="s">
        <v>255</v>
      </c>
      <c r="J7" s="14" t="s">
        <v>166</v>
      </c>
      <c r="K7" s="14">
        <v>50</v>
      </c>
      <c r="L7" s="16">
        <v>7</v>
      </c>
      <c r="M7" s="17">
        <f t="shared" si="2"/>
        <v>35</v>
      </c>
      <c r="N7" s="9" t="s">
        <v>243</v>
      </c>
      <c r="O7" s="101">
        <v>4.4200000000000003E-2</v>
      </c>
      <c r="P7" s="106">
        <f>O7*K7</f>
        <v>2.21</v>
      </c>
      <c r="Q7" s="117">
        <v>4.4200000000000003E-2</v>
      </c>
      <c r="R7" s="69">
        <f>Q7*K7</f>
        <v>2.21</v>
      </c>
      <c r="S7" s="5"/>
    </row>
    <row r="8" spans="1:19" ht="15.75" thickBot="1" x14ac:dyDescent="0.3">
      <c r="A8" s="94">
        <v>6</v>
      </c>
      <c r="B8" s="151"/>
      <c r="C8" s="81" t="s">
        <v>28</v>
      </c>
      <c r="D8" s="14" t="s">
        <v>68</v>
      </c>
      <c r="E8" s="14" t="s">
        <v>107</v>
      </c>
      <c r="F8" s="41" t="s">
        <v>137</v>
      </c>
      <c r="G8" s="14" t="s">
        <v>188</v>
      </c>
      <c r="H8" s="14" t="s">
        <v>251</v>
      </c>
      <c r="I8" s="15" t="s">
        <v>250</v>
      </c>
      <c r="J8" s="14" t="s">
        <v>167</v>
      </c>
      <c r="K8" s="14">
        <v>100</v>
      </c>
      <c r="L8" s="16">
        <v>1</v>
      </c>
      <c r="M8" s="17">
        <f>L8*5</f>
        <v>5</v>
      </c>
      <c r="N8" s="9" t="s">
        <v>243</v>
      </c>
      <c r="O8" s="100">
        <v>1.8E-3</v>
      </c>
      <c r="P8" s="106">
        <f>O8*K8</f>
        <v>0.18</v>
      </c>
      <c r="Q8" s="100">
        <v>1.8E-3</v>
      </c>
      <c r="R8" s="69">
        <f>Q8*K8</f>
        <v>0.18</v>
      </c>
      <c r="S8" s="5"/>
    </row>
    <row r="9" spans="1:19" ht="15.75" thickBot="1" x14ac:dyDescent="0.3">
      <c r="A9" s="94">
        <v>7</v>
      </c>
      <c r="B9" s="151"/>
      <c r="C9" s="128" t="s">
        <v>286</v>
      </c>
      <c r="D9" s="14" t="s">
        <v>287</v>
      </c>
      <c r="E9" s="14" t="s">
        <v>288</v>
      </c>
      <c r="F9" s="14" t="s">
        <v>288</v>
      </c>
      <c r="G9" s="14" t="s">
        <v>289</v>
      </c>
      <c r="H9" s="129"/>
      <c r="I9" s="35" t="s">
        <v>233</v>
      </c>
      <c r="J9" s="14" t="s">
        <v>290</v>
      </c>
      <c r="K9" s="16">
        <v>5</v>
      </c>
      <c r="L9" s="130">
        <v>1</v>
      </c>
      <c r="M9" s="17">
        <f>L9*5</f>
        <v>5</v>
      </c>
      <c r="N9" s="9" t="s">
        <v>243</v>
      </c>
      <c r="O9" s="100">
        <v>0.17199999999999999</v>
      </c>
      <c r="P9" s="106">
        <f>O9*L9</f>
        <v>0.17199999999999999</v>
      </c>
      <c r="Q9" s="100">
        <v>0.17199999999999999</v>
      </c>
      <c r="R9" s="69">
        <f>Q9*K9</f>
        <v>0.85999999999999988</v>
      </c>
      <c r="S9" s="5"/>
    </row>
    <row r="10" spans="1:19" ht="15.75" thickBot="1" x14ac:dyDescent="0.3">
      <c r="A10" s="94">
        <v>8</v>
      </c>
      <c r="B10" s="151"/>
      <c r="C10" s="81" t="s">
        <v>29</v>
      </c>
      <c r="D10" s="14" t="s">
        <v>69</v>
      </c>
      <c r="E10" s="14" t="s">
        <v>105</v>
      </c>
      <c r="F10" s="41" t="s">
        <v>138</v>
      </c>
      <c r="G10" s="14" t="s">
        <v>190</v>
      </c>
      <c r="H10" s="14" t="s">
        <v>253</v>
      </c>
      <c r="I10" s="15" t="s">
        <v>252</v>
      </c>
      <c r="J10" s="14" t="s">
        <v>168</v>
      </c>
      <c r="K10" s="14">
        <v>100</v>
      </c>
      <c r="L10" s="16">
        <v>1</v>
      </c>
      <c r="M10" s="17">
        <f t="shared" si="2"/>
        <v>5</v>
      </c>
      <c r="N10" s="9" t="s">
        <v>243</v>
      </c>
      <c r="O10" s="100">
        <v>3.0000000000000001E-3</v>
      </c>
      <c r="P10" s="106">
        <f t="shared" si="0"/>
        <v>0.3</v>
      </c>
      <c r="Q10" s="100">
        <v>3.0000000000000001E-3</v>
      </c>
      <c r="R10" s="69">
        <f t="shared" ref="R10:R12" si="3">Q10*K10</f>
        <v>0.3</v>
      </c>
      <c r="S10" s="5"/>
    </row>
    <row r="11" spans="1:19" ht="15.75" thickBot="1" x14ac:dyDescent="0.3">
      <c r="A11" s="94">
        <v>9</v>
      </c>
      <c r="B11" s="151"/>
      <c r="C11" s="81" t="s">
        <v>30</v>
      </c>
      <c r="D11" s="14" t="s">
        <v>70</v>
      </c>
      <c r="E11" s="14" t="s">
        <v>106</v>
      </c>
      <c r="F11" s="41" t="s">
        <v>139</v>
      </c>
      <c r="G11" s="14" t="s">
        <v>188</v>
      </c>
      <c r="H11" s="14" t="s">
        <v>254</v>
      </c>
      <c r="I11" s="15" t="s">
        <v>255</v>
      </c>
      <c r="J11" s="14" t="s">
        <v>169</v>
      </c>
      <c r="K11" s="14">
        <v>5</v>
      </c>
      <c r="L11" s="16">
        <v>1</v>
      </c>
      <c r="M11" s="17">
        <f t="shared" si="2"/>
        <v>5</v>
      </c>
      <c r="N11" s="9" t="s">
        <v>243</v>
      </c>
      <c r="O11" s="99">
        <v>0.1046</v>
      </c>
      <c r="P11" s="106">
        <f t="shared" si="0"/>
        <v>0.52300000000000002</v>
      </c>
      <c r="Q11" s="99">
        <v>0.1046</v>
      </c>
      <c r="R11" s="69">
        <f t="shared" si="3"/>
        <v>0.52300000000000002</v>
      </c>
      <c r="S11" s="5"/>
    </row>
    <row r="12" spans="1:19" ht="15.75" thickBot="1" x14ac:dyDescent="0.3">
      <c r="A12" s="94">
        <v>10</v>
      </c>
      <c r="B12" s="151"/>
      <c r="C12" s="81" t="s">
        <v>31</v>
      </c>
      <c r="D12" s="14" t="s">
        <v>71</v>
      </c>
      <c r="E12" s="14" t="s">
        <v>104</v>
      </c>
      <c r="F12" s="41" t="s">
        <v>140</v>
      </c>
      <c r="G12" s="14" t="s">
        <v>191</v>
      </c>
      <c r="H12" s="14" t="s">
        <v>256</v>
      </c>
      <c r="I12" s="15" t="s">
        <v>255</v>
      </c>
      <c r="J12" s="14" t="s">
        <v>170</v>
      </c>
      <c r="K12" s="14">
        <v>100</v>
      </c>
      <c r="L12" s="16">
        <v>1</v>
      </c>
      <c r="M12" s="17">
        <f t="shared" si="2"/>
        <v>5</v>
      </c>
      <c r="N12" s="9" t="s">
        <v>243</v>
      </c>
      <c r="O12" s="102">
        <v>3.8999999999999998E-3</v>
      </c>
      <c r="P12" s="106">
        <f t="shared" si="0"/>
        <v>0.38999999999999996</v>
      </c>
      <c r="Q12" s="102">
        <v>3.8999999999999998E-3</v>
      </c>
      <c r="R12" s="69">
        <f t="shared" si="3"/>
        <v>0.38999999999999996</v>
      </c>
      <c r="S12" s="5"/>
    </row>
    <row r="13" spans="1:19" ht="15.75" thickBot="1" x14ac:dyDescent="0.3">
      <c r="A13" s="94">
        <v>11</v>
      </c>
      <c r="B13" s="151"/>
      <c r="C13" s="81" t="s">
        <v>32</v>
      </c>
      <c r="D13" s="14" t="s">
        <v>72</v>
      </c>
      <c r="E13" s="14" t="s">
        <v>108</v>
      </c>
      <c r="F13" s="41" t="s">
        <v>141</v>
      </c>
      <c r="G13" s="14" t="s">
        <v>192</v>
      </c>
      <c r="H13" s="35" t="s">
        <v>257</v>
      </c>
      <c r="I13" s="15" t="s">
        <v>255</v>
      </c>
      <c r="J13" s="14" t="s">
        <v>171</v>
      </c>
      <c r="K13" s="14">
        <v>1</v>
      </c>
      <c r="L13" s="16">
        <v>2</v>
      </c>
      <c r="M13" s="17">
        <f t="shared" si="2"/>
        <v>10</v>
      </c>
      <c r="N13" s="9" t="s">
        <v>243</v>
      </c>
      <c r="O13" s="100">
        <v>0.31290000000000001</v>
      </c>
      <c r="P13" s="26">
        <f>O13*L13</f>
        <v>0.62580000000000002</v>
      </c>
      <c r="Q13" s="115">
        <v>0.2339</v>
      </c>
      <c r="R13" s="69">
        <f>Q13*M13</f>
        <v>2.339</v>
      </c>
      <c r="S13" s="5"/>
    </row>
    <row r="14" spans="1:19" ht="15.75" thickBot="1" x14ac:dyDescent="0.3">
      <c r="A14" s="94">
        <v>12</v>
      </c>
      <c r="B14" s="151"/>
      <c r="C14" s="82" t="s">
        <v>33</v>
      </c>
      <c r="D14" s="30" t="s">
        <v>73</v>
      </c>
      <c r="E14" s="30" t="s">
        <v>105</v>
      </c>
      <c r="F14" s="55" t="s">
        <v>142</v>
      </c>
      <c r="G14" s="30" t="s">
        <v>193</v>
      </c>
      <c r="H14" s="30" t="s">
        <v>258</v>
      </c>
      <c r="I14" s="34" t="s">
        <v>259</v>
      </c>
      <c r="J14" s="30" t="s">
        <v>172</v>
      </c>
      <c r="K14" s="30">
        <v>20</v>
      </c>
      <c r="L14" s="31">
        <v>1</v>
      </c>
      <c r="M14" s="32">
        <f t="shared" si="2"/>
        <v>5</v>
      </c>
      <c r="N14" s="111" t="s">
        <v>243</v>
      </c>
      <c r="O14" s="103">
        <v>2.3199999999999998E-2</v>
      </c>
      <c r="P14" s="106">
        <f t="shared" si="0"/>
        <v>0.46399999999999997</v>
      </c>
      <c r="Q14" s="103">
        <v>2.3199999999999998E-2</v>
      </c>
      <c r="R14" s="70">
        <f>Q14*K14</f>
        <v>0.46399999999999997</v>
      </c>
      <c r="S14" s="33"/>
    </row>
    <row r="15" spans="1:19" ht="16.5" thickBot="1" x14ac:dyDescent="0.3">
      <c r="A15" s="94">
        <v>13</v>
      </c>
      <c r="B15" s="46" t="s">
        <v>219</v>
      </c>
      <c r="C15" s="83" t="s">
        <v>34</v>
      </c>
      <c r="D15" s="22" t="s">
        <v>74</v>
      </c>
      <c r="E15" s="22" t="s">
        <v>109</v>
      </c>
      <c r="F15" s="43" t="s">
        <v>220</v>
      </c>
      <c r="G15" s="22" t="s">
        <v>194</v>
      </c>
      <c r="H15" s="22" t="s">
        <v>260</v>
      </c>
      <c r="I15" s="56" t="s">
        <v>255</v>
      </c>
      <c r="J15" s="22" t="s">
        <v>233</v>
      </c>
      <c r="K15" s="22">
        <v>1</v>
      </c>
      <c r="L15" s="23">
        <v>2</v>
      </c>
      <c r="M15" s="24">
        <f t="shared" si="2"/>
        <v>10</v>
      </c>
      <c r="N15" s="112" t="s">
        <v>243</v>
      </c>
      <c r="O15" s="104">
        <v>0.20680000000000001</v>
      </c>
      <c r="P15" s="26">
        <f>O15*L15</f>
        <v>0.41360000000000002</v>
      </c>
      <c r="Q15" s="118">
        <v>0.16070000000000001</v>
      </c>
      <c r="R15" s="71">
        <f>Q15*M15</f>
        <v>1.6070000000000002</v>
      </c>
      <c r="S15" s="8"/>
    </row>
    <row r="16" spans="1:19" s="36" customFormat="1" ht="15.75" thickBot="1" x14ac:dyDescent="0.3">
      <c r="A16" s="94">
        <v>14</v>
      </c>
      <c r="B16" s="148" t="s">
        <v>213</v>
      </c>
      <c r="C16" s="90" t="s">
        <v>39</v>
      </c>
      <c r="D16" s="39" t="s">
        <v>80</v>
      </c>
      <c r="E16" s="39" t="s">
        <v>227</v>
      </c>
      <c r="F16" s="91" t="s">
        <v>115</v>
      </c>
      <c r="G16" s="39" t="s">
        <v>198</v>
      </c>
      <c r="H16" s="39"/>
      <c r="I16" s="11"/>
      <c r="J16" s="39" t="s">
        <v>173</v>
      </c>
      <c r="K16" s="39"/>
      <c r="L16" s="25">
        <v>1</v>
      </c>
      <c r="M16" s="13">
        <f t="shared" si="2"/>
        <v>5</v>
      </c>
      <c r="N16" s="28"/>
      <c r="O16" s="97"/>
      <c r="P16" s="106">
        <f t="shared" si="0"/>
        <v>0</v>
      </c>
      <c r="Q16" s="119"/>
      <c r="R16" s="68">
        <f t="shared" ref="R16:R42" si="4">Q16*M16</f>
        <v>0</v>
      </c>
      <c r="S16" s="4" t="s">
        <v>292</v>
      </c>
    </row>
    <row r="17" spans="1:19" ht="15.75" thickBot="1" x14ac:dyDescent="0.3">
      <c r="A17" s="94">
        <v>15</v>
      </c>
      <c r="B17" s="149"/>
      <c r="C17" s="81" t="s">
        <v>40</v>
      </c>
      <c r="D17" s="14" t="s">
        <v>81</v>
      </c>
      <c r="E17" s="14" t="s">
        <v>227</v>
      </c>
      <c r="F17" s="41" t="s">
        <v>116</v>
      </c>
      <c r="G17" s="14" t="s">
        <v>198</v>
      </c>
      <c r="H17" s="14"/>
      <c r="I17" s="15"/>
      <c r="J17" s="14" t="s">
        <v>174</v>
      </c>
      <c r="K17" s="14"/>
      <c r="L17" s="16">
        <v>1</v>
      </c>
      <c r="M17" s="17">
        <f t="shared" si="2"/>
        <v>5</v>
      </c>
      <c r="N17" s="9" t="s">
        <v>291</v>
      </c>
      <c r="O17" s="100">
        <v>0.82</v>
      </c>
      <c r="P17" s="106">
        <f>O17*L17</f>
        <v>0.82</v>
      </c>
      <c r="Q17" s="115">
        <v>0.82</v>
      </c>
      <c r="R17" s="69">
        <f>Q17*M17</f>
        <v>4.0999999999999996</v>
      </c>
      <c r="S17" s="6"/>
    </row>
    <row r="18" spans="1:19" ht="19.5" customHeight="1" thickBot="1" x14ac:dyDescent="0.3">
      <c r="A18" s="94">
        <v>16</v>
      </c>
      <c r="B18" s="150"/>
      <c r="C18" s="84" t="s">
        <v>41</v>
      </c>
      <c r="D18" s="19" t="s">
        <v>82</v>
      </c>
      <c r="E18" s="19" t="s">
        <v>117</v>
      </c>
      <c r="F18" s="42" t="s">
        <v>143</v>
      </c>
      <c r="G18" s="19" t="s">
        <v>190</v>
      </c>
      <c r="H18" s="19"/>
      <c r="I18" s="37"/>
      <c r="J18" s="19" t="s">
        <v>175</v>
      </c>
      <c r="K18" s="19"/>
      <c r="L18" s="20">
        <v>1</v>
      </c>
      <c r="M18" s="21">
        <f t="shared" si="2"/>
        <v>5</v>
      </c>
      <c r="N18" s="9" t="s">
        <v>291</v>
      </c>
      <c r="O18" s="105">
        <v>9.5000000000000001E-2</v>
      </c>
      <c r="P18" s="106">
        <f>O18*L18</f>
        <v>9.5000000000000001E-2</v>
      </c>
      <c r="Q18" s="120">
        <v>9.5000000000000001E-2</v>
      </c>
      <c r="R18" s="72">
        <f t="shared" si="4"/>
        <v>0.47499999999999998</v>
      </c>
      <c r="S18" s="7"/>
    </row>
    <row r="19" spans="1:19" ht="16.5" thickBot="1" x14ac:dyDescent="0.3">
      <c r="A19" s="94">
        <v>17</v>
      </c>
      <c r="B19" s="46" t="s">
        <v>18</v>
      </c>
      <c r="C19" s="83" t="s">
        <v>42</v>
      </c>
      <c r="D19" s="22" t="s">
        <v>83</v>
      </c>
      <c r="E19" s="22" t="s">
        <v>118</v>
      </c>
      <c r="F19" s="43" t="s">
        <v>144</v>
      </c>
      <c r="G19" s="22" t="s">
        <v>199</v>
      </c>
      <c r="H19" s="22" t="s">
        <v>262</v>
      </c>
      <c r="I19" s="38" t="s">
        <v>261</v>
      </c>
      <c r="J19" s="22" t="s">
        <v>236</v>
      </c>
      <c r="K19" s="22">
        <v>20</v>
      </c>
      <c r="L19" s="23">
        <v>1</v>
      </c>
      <c r="M19" s="24">
        <f t="shared" si="2"/>
        <v>5</v>
      </c>
      <c r="N19" s="112" t="s">
        <v>243</v>
      </c>
      <c r="O19" s="104">
        <v>2.8400000000000002E-2</v>
      </c>
      <c r="P19" s="106">
        <f t="shared" si="0"/>
        <v>0.56800000000000006</v>
      </c>
      <c r="Q19" s="104">
        <v>2.8400000000000002E-2</v>
      </c>
      <c r="R19" s="71">
        <f>Q19*K19</f>
        <v>0.56800000000000006</v>
      </c>
      <c r="S19" s="8"/>
    </row>
    <row r="20" spans="1:19" ht="16.5" thickBot="1" x14ac:dyDescent="0.3">
      <c r="A20" s="94">
        <v>18</v>
      </c>
      <c r="B20" s="46" t="s">
        <v>214</v>
      </c>
      <c r="C20" s="83" t="s">
        <v>43</v>
      </c>
      <c r="D20" s="22" t="s">
        <v>84</v>
      </c>
      <c r="E20" s="22" t="s">
        <v>119</v>
      </c>
      <c r="F20" s="43" t="s">
        <v>145</v>
      </c>
      <c r="G20" s="22" t="s">
        <v>200</v>
      </c>
      <c r="H20" s="22" t="s">
        <v>263</v>
      </c>
      <c r="I20" s="38" t="s">
        <v>255</v>
      </c>
      <c r="J20" s="22" t="s">
        <v>236</v>
      </c>
      <c r="K20" s="22">
        <v>10</v>
      </c>
      <c r="L20" s="23">
        <v>1</v>
      </c>
      <c r="M20" s="24">
        <f t="shared" si="2"/>
        <v>5</v>
      </c>
      <c r="N20" s="112" t="s">
        <v>243</v>
      </c>
      <c r="O20" s="104">
        <v>9.3100000000000002E-2</v>
      </c>
      <c r="P20" s="106">
        <f t="shared" si="0"/>
        <v>0.93100000000000005</v>
      </c>
      <c r="Q20" s="104">
        <v>9.3100000000000002E-2</v>
      </c>
      <c r="R20" s="71">
        <f t="shared" ref="R20:R25" si="5">Q20*K20</f>
        <v>0.93100000000000005</v>
      </c>
      <c r="S20" s="8"/>
    </row>
    <row r="21" spans="1:19" ht="15.75" customHeight="1" thickBot="1" x14ac:dyDescent="0.3">
      <c r="A21" s="94">
        <v>19</v>
      </c>
      <c r="B21" s="148" t="s">
        <v>215</v>
      </c>
      <c r="C21" s="79" t="s">
        <v>44</v>
      </c>
      <c r="D21" s="10" t="s">
        <v>85</v>
      </c>
      <c r="E21" s="10" t="s">
        <v>120</v>
      </c>
      <c r="F21" s="40" t="s">
        <v>146</v>
      </c>
      <c r="G21" s="10" t="s">
        <v>201</v>
      </c>
      <c r="H21" s="10" t="s">
        <v>264</v>
      </c>
      <c r="I21" s="39" t="s">
        <v>265</v>
      </c>
      <c r="J21" s="10" t="s">
        <v>176</v>
      </c>
      <c r="K21" s="10">
        <v>100</v>
      </c>
      <c r="L21" s="12">
        <v>2</v>
      </c>
      <c r="M21" s="13">
        <f t="shared" si="2"/>
        <v>10</v>
      </c>
      <c r="N21" s="95" t="s">
        <v>243</v>
      </c>
      <c r="O21" s="106">
        <v>1E-3</v>
      </c>
      <c r="P21" s="106">
        <f t="shared" si="0"/>
        <v>0.1</v>
      </c>
      <c r="Q21" s="106">
        <v>1E-3</v>
      </c>
      <c r="R21" s="125">
        <f t="shared" si="5"/>
        <v>0.1</v>
      </c>
      <c r="S21" s="4"/>
    </row>
    <row r="22" spans="1:19" ht="15.75" customHeight="1" thickBot="1" x14ac:dyDescent="0.3">
      <c r="A22" s="94">
        <v>20</v>
      </c>
      <c r="B22" s="151"/>
      <c r="C22" s="138" t="s">
        <v>298</v>
      </c>
      <c r="D22" s="139" t="s">
        <v>86</v>
      </c>
      <c r="E22" s="139" t="s">
        <v>120</v>
      </c>
      <c r="F22" s="14" t="s">
        <v>299</v>
      </c>
      <c r="G22" s="14" t="s">
        <v>191</v>
      </c>
      <c r="H22" s="39" t="s">
        <v>313</v>
      </c>
      <c r="I22" s="39" t="s">
        <v>233</v>
      </c>
      <c r="J22" s="139" t="s">
        <v>300</v>
      </c>
      <c r="K22" s="141">
        <v>100</v>
      </c>
      <c r="L22" s="140">
        <v>1</v>
      </c>
      <c r="M22" s="25">
        <f t="shared" ref="M22:M23" si="6">L22*5</f>
        <v>5</v>
      </c>
      <c r="N22" s="135" t="s">
        <v>243</v>
      </c>
      <c r="O22" s="136">
        <v>1.1999999999999999E-3</v>
      </c>
      <c r="P22" s="132">
        <f>O22*K22</f>
        <v>0.12</v>
      </c>
      <c r="Q22" s="136">
        <v>1.1999999999999999E-3</v>
      </c>
      <c r="R22" s="125">
        <f>Q22*K22</f>
        <v>0.12</v>
      </c>
      <c r="S22" s="137"/>
    </row>
    <row r="23" spans="1:19" ht="15.75" customHeight="1" thickBot="1" x14ac:dyDescent="0.3">
      <c r="A23" s="94">
        <v>21</v>
      </c>
      <c r="B23" s="151"/>
      <c r="C23" s="138" t="s">
        <v>301</v>
      </c>
      <c r="D23" s="139" t="s">
        <v>19</v>
      </c>
      <c r="E23" s="139" t="s">
        <v>120</v>
      </c>
      <c r="F23" s="14" t="s">
        <v>302</v>
      </c>
      <c r="G23" s="14" t="s">
        <v>303</v>
      </c>
      <c r="H23" s="134"/>
      <c r="I23" s="39" t="s">
        <v>233</v>
      </c>
      <c r="J23" s="139" t="s">
        <v>304</v>
      </c>
      <c r="K23" s="156">
        <v>100</v>
      </c>
      <c r="L23" s="140">
        <v>1</v>
      </c>
      <c r="M23" s="25">
        <f t="shared" si="6"/>
        <v>5</v>
      </c>
      <c r="N23" s="135" t="s">
        <v>314</v>
      </c>
      <c r="O23" s="136">
        <v>8.7999999999999995E-2</v>
      </c>
      <c r="P23" s="106">
        <f>O23*K23</f>
        <v>8.7999999999999989</v>
      </c>
      <c r="Q23" s="136">
        <v>8.7999999999999995E-2</v>
      </c>
      <c r="R23" s="106">
        <f>Q23*K23</f>
        <v>8.7999999999999989</v>
      </c>
      <c r="S23" s="137"/>
    </row>
    <row r="24" spans="1:19" ht="15.75" customHeight="1" thickBot="1" x14ac:dyDescent="0.3">
      <c r="A24" s="94">
        <v>22</v>
      </c>
      <c r="B24" s="151"/>
      <c r="C24" s="81" t="s">
        <v>45</v>
      </c>
      <c r="D24" s="14" t="s">
        <v>87</v>
      </c>
      <c r="E24" s="14" t="s">
        <v>120</v>
      </c>
      <c r="F24" s="41" t="s">
        <v>147</v>
      </c>
      <c r="G24" s="14" t="s">
        <v>191</v>
      </c>
      <c r="H24" s="14" t="s">
        <v>266</v>
      </c>
      <c r="I24" s="35" t="s">
        <v>255</v>
      </c>
      <c r="J24" s="14" t="s">
        <v>177</v>
      </c>
      <c r="K24" s="14">
        <v>100</v>
      </c>
      <c r="L24" s="16">
        <v>1</v>
      </c>
      <c r="M24" s="17">
        <f t="shared" si="2"/>
        <v>5</v>
      </c>
      <c r="N24" s="9" t="s">
        <v>243</v>
      </c>
      <c r="O24" s="100">
        <v>1.2999999999999999E-3</v>
      </c>
      <c r="P24" s="106">
        <f t="shared" si="0"/>
        <v>0.13</v>
      </c>
      <c r="Q24" s="100">
        <v>1.2999999999999999E-3</v>
      </c>
      <c r="R24" s="127">
        <f t="shared" si="5"/>
        <v>0.13</v>
      </c>
      <c r="S24" s="6"/>
    </row>
    <row r="25" spans="1:19" ht="15.75" customHeight="1" thickBot="1" x14ac:dyDescent="0.3">
      <c r="A25" s="94">
        <v>23</v>
      </c>
      <c r="B25" s="151"/>
      <c r="C25" s="81" t="s">
        <v>46</v>
      </c>
      <c r="D25" s="14" t="s">
        <v>20</v>
      </c>
      <c r="E25" s="14" t="s">
        <v>120</v>
      </c>
      <c r="F25" s="41" t="s">
        <v>148</v>
      </c>
      <c r="G25" s="14" t="s">
        <v>191</v>
      </c>
      <c r="H25" s="14" t="s">
        <v>267</v>
      </c>
      <c r="I25" s="35" t="s">
        <v>255</v>
      </c>
      <c r="J25" s="14" t="s">
        <v>178</v>
      </c>
      <c r="K25" s="14">
        <v>100</v>
      </c>
      <c r="L25" s="16">
        <v>1</v>
      </c>
      <c r="M25" s="17">
        <f t="shared" si="2"/>
        <v>5</v>
      </c>
      <c r="N25" s="9" t="s">
        <v>243</v>
      </c>
      <c r="O25" s="100">
        <v>1.6999999999999999E-3</v>
      </c>
      <c r="P25" s="106">
        <f t="shared" si="0"/>
        <v>0.16999999999999998</v>
      </c>
      <c r="Q25" s="100">
        <v>1.6999999999999999E-3</v>
      </c>
      <c r="R25" s="127">
        <f t="shared" si="5"/>
        <v>0.16999999999999998</v>
      </c>
      <c r="S25" s="6"/>
    </row>
    <row r="26" spans="1:19" ht="15.75" customHeight="1" thickBot="1" x14ac:dyDescent="0.3">
      <c r="A26" s="94">
        <v>24</v>
      </c>
      <c r="B26" s="151"/>
      <c r="C26" s="81" t="s">
        <v>48</v>
      </c>
      <c r="D26" s="14" t="s">
        <v>88</v>
      </c>
      <c r="E26" s="14" t="s">
        <v>121</v>
      </c>
      <c r="F26" s="41" t="s">
        <v>150</v>
      </c>
      <c r="G26" s="14" t="s">
        <v>202</v>
      </c>
      <c r="H26" s="14"/>
      <c r="I26" s="35"/>
      <c r="J26" s="14" t="s">
        <v>228</v>
      </c>
      <c r="K26" s="14"/>
      <c r="L26" s="16">
        <v>2</v>
      </c>
      <c r="M26" s="17">
        <f t="shared" si="2"/>
        <v>10</v>
      </c>
      <c r="N26" s="9" t="s">
        <v>293</v>
      </c>
      <c r="O26" s="100">
        <v>0.1268</v>
      </c>
      <c r="P26" s="106">
        <f>O26*L26</f>
        <v>0.25359999999999999</v>
      </c>
      <c r="Q26" s="115">
        <v>8.6599999999999996E-2</v>
      </c>
      <c r="R26" s="126">
        <f t="shared" si="4"/>
        <v>0.86599999999999999</v>
      </c>
      <c r="S26" s="6"/>
    </row>
    <row r="27" spans="1:19" ht="15.75" customHeight="1" thickBot="1" x14ac:dyDescent="0.3">
      <c r="A27" s="94">
        <v>25</v>
      </c>
      <c r="B27" s="151"/>
      <c r="C27" s="81" t="s">
        <v>49</v>
      </c>
      <c r="D27" s="14" t="s">
        <v>89</v>
      </c>
      <c r="E27" s="14" t="s">
        <v>120</v>
      </c>
      <c r="F27" s="41" t="s">
        <v>151</v>
      </c>
      <c r="G27" s="14" t="s">
        <v>191</v>
      </c>
      <c r="H27" s="14" t="s">
        <v>268</v>
      </c>
      <c r="I27" s="35" t="s">
        <v>255</v>
      </c>
      <c r="J27" s="14" t="s">
        <v>179</v>
      </c>
      <c r="K27" s="14">
        <v>100</v>
      </c>
      <c r="L27" s="16">
        <v>2</v>
      </c>
      <c r="M27" s="17">
        <f t="shared" si="2"/>
        <v>10</v>
      </c>
      <c r="N27" s="9" t="s">
        <v>243</v>
      </c>
      <c r="O27" s="100">
        <v>1.2999999999999999E-3</v>
      </c>
      <c r="P27" s="106">
        <f t="shared" si="0"/>
        <v>0.13</v>
      </c>
      <c r="Q27" s="100">
        <v>1.2999999999999999E-3</v>
      </c>
      <c r="R27" s="69">
        <f>Q27*K27</f>
        <v>0.13</v>
      </c>
      <c r="S27" s="6"/>
    </row>
    <row r="28" spans="1:19" ht="15.75" customHeight="1" thickBot="1" x14ac:dyDescent="0.3">
      <c r="A28" s="94">
        <v>26</v>
      </c>
      <c r="B28" s="151"/>
      <c r="C28" s="81" t="s">
        <v>50</v>
      </c>
      <c r="D28" s="14" t="s">
        <v>90</v>
      </c>
      <c r="E28" s="14" t="s">
        <v>120</v>
      </c>
      <c r="F28" s="41" t="s">
        <v>152</v>
      </c>
      <c r="G28" s="14" t="s">
        <v>191</v>
      </c>
      <c r="H28" s="14" t="s">
        <v>269</v>
      </c>
      <c r="I28" s="35" t="s">
        <v>270</v>
      </c>
      <c r="J28" s="14" t="s">
        <v>180</v>
      </c>
      <c r="K28" s="14">
        <v>100</v>
      </c>
      <c r="L28" s="16">
        <v>1</v>
      </c>
      <c r="M28" s="17">
        <f t="shared" si="2"/>
        <v>5</v>
      </c>
      <c r="N28" s="9" t="s">
        <v>243</v>
      </c>
      <c r="O28" s="100">
        <v>1E-3</v>
      </c>
      <c r="P28" s="106">
        <f t="shared" si="0"/>
        <v>0.1</v>
      </c>
      <c r="Q28" s="100">
        <v>1E-3</v>
      </c>
      <c r="R28" s="69">
        <f t="shared" ref="R28:R36" si="7">Q28*K28</f>
        <v>0.1</v>
      </c>
      <c r="S28" s="6"/>
    </row>
    <row r="29" spans="1:19" ht="15.75" customHeight="1" thickBot="1" x14ac:dyDescent="0.3">
      <c r="A29" s="94">
        <v>27</v>
      </c>
      <c r="B29" s="151"/>
      <c r="C29" s="81" t="s">
        <v>51</v>
      </c>
      <c r="D29" s="14" t="s">
        <v>91</v>
      </c>
      <c r="E29" s="14" t="s">
        <v>120</v>
      </c>
      <c r="F29" s="41" t="s">
        <v>153</v>
      </c>
      <c r="G29" s="14" t="s">
        <v>191</v>
      </c>
      <c r="H29" s="14" t="s">
        <v>271</v>
      </c>
      <c r="I29" s="35" t="s">
        <v>272</v>
      </c>
      <c r="J29" s="14" t="s">
        <v>181</v>
      </c>
      <c r="K29" s="14">
        <v>100</v>
      </c>
      <c r="L29" s="16">
        <v>3</v>
      </c>
      <c r="M29" s="17">
        <f t="shared" si="2"/>
        <v>15</v>
      </c>
      <c r="N29" s="9" t="s">
        <v>243</v>
      </c>
      <c r="O29" s="100">
        <v>1E-3</v>
      </c>
      <c r="P29" s="106">
        <f t="shared" si="0"/>
        <v>0.1</v>
      </c>
      <c r="Q29" s="100">
        <v>1E-3</v>
      </c>
      <c r="R29" s="69">
        <f t="shared" si="7"/>
        <v>0.1</v>
      </c>
      <c r="S29" s="6"/>
    </row>
    <row r="30" spans="1:19" ht="15.75" customHeight="1" thickBot="1" x14ac:dyDescent="0.3">
      <c r="A30" s="94">
        <v>28</v>
      </c>
      <c r="B30" s="151"/>
      <c r="C30" s="81" t="s">
        <v>52</v>
      </c>
      <c r="D30" s="14" t="s">
        <v>92</v>
      </c>
      <c r="E30" s="14" t="s">
        <v>121</v>
      </c>
      <c r="F30" s="44" t="s">
        <v>154</v>
      </c>
      <c r="G30" s="44" t="s">
        <v>203</v>
      </c>
      <c r="H30" s="44" t="s">
        <v>273</v>
      </c>
      <c r="I30" s="44" t="s">
        <v>221</v>
      </c>
      <c r="J30" s="44" t="s">
        <v>182</v>
      </c>
      <c r="K30" s="44">
        <v>100</v>
      </c>
      <c r="L30" s="45">
        <v>1</v>
      </c>
      <c r="M30" s="17">
        <f t="shared" si="2"/>
        <v>5</v>
      </c>
      <c r="N30" s="9" t="s">
        <v>243</v>
      </c>
      <c r="O30" s="100">
        <v>8.9999999999999998E-4</v>
      </c>
      <c r="P30" s="106">
        <f t="shared" si="0"/>
        <v>0.09</v>
      </c>
      <c r="Q30" s="100">
        <v>8.9999999999999998E-4</v>
      </c>
      <c r="R30" s="69">
        <f t="shared" si="7"/>
        <v>0.09</v>
      </c>
      <c r="S30" s="74" t="s">
        <v>222</v>
      </c>
    </row>
    <row r="31" spans="1:19" ht="15.75" customHeight="1" thickBot="1" x14ac:dyDescent="0.3">
      <c r="A31" s="94"/>
      <c r="B31" s="151"/>
      <c r="C31" s="128" t="s">
        <v>315</v>
      </c>
      <c r="D31" s="14" t="s">
        <v>307</v>
      </c>
      <c r="E31" s="14" t="s">
        <v>308</v>
      </c>
      <c r="F31" s="14" t="s">
        <v>309</v>
      </c>
      <c r="G31" s="14" t="s">
        <v>310</v>
      </c>
      <c r="H31" s="44" t="s">
        <v>312</v>
      </c>
      <c r="I31" s="44"/>
      <c r="J31" s="44" t="s">
        <v>311</v>
      </c>
      <c r="K31" s="44">
        <v>10</v>
      </c>
      <c r="L31" s="45">
        <v>2</v>
      </c>
      <c r="M31" s="17">
        <f t="shared" si="2"/>
        <v>10</v>
      </c>
      <c r="N31" s="9" t="s">
        <v>243</v>
      </c>
      <c r="O31" s="100">
        <v>3.8899999999999997E-2</v>
      </c>
      <c r="P31" s="106">
        <f>O31*K31</f>
        <v>0.38899999999999996</v>
      </c>
      <c r="Q31" s="100">
        <v>3.8899999999999997E-2</v>
      </c>
      <c r="R31" s="69">
        <f>Q31*K31</f>
        <v>0.38899999999999996</v>
      </c>
      <c r="S31" s="74"/>
    </row>
    <row r="32" spans="1:19" ht="15.75" customHeight="1" thickBot="1" x14ac:dyDescent="0.3">
      <c r="A32" s="94">
        <v>29</v>
      </c>
      <c r="B32" s="151"/>
      <c r="C32" s="81" t="s">
        <v>47</v>
      </c>
      <c r="D32" s="14" t="s">
        <v>234</v>
      </c>
      <c r="E32" s="14" t="s">
        <v>120</v>
      </c>
      <c r="F32" s="14" t="s">
        <v>149</v>
      </c>
      <c r="G32" s="14" t="s">
        <v>191</v>
      </c>
      <c r="H32" s="14" t="s">
        <v>274</v>
      </c>
      <c r="I32" s="14" t="s">
        <v>255</v>
      </c>
      <c r="J32" s="14" t="s">
        <v>22</v>
      </c>
      <c r="K32" s="14">
        <v>100</v>
      </c>
      <c r="L32" s="16">
        <v>5</v>
      </c>
      <c r="M32" s="17">
        <f t="shared" si="2"/>
        <v>25</v>
      </c>
      <c r="N32" s="9" t="s">
        <v>243</v>
      </c>
      <c r="O32" s="100">
        <v>1E-3</v>
      </c>
      <c r="P32" s="106">
        <f t="shared" si="0"/>
        <v>0.1</v>
      </c>
      <c r="Q32" s="100">
        <v>1E-3</v>
      </c>
      <c r="R32" s="69">
        <f t="shared" si="7"/>
        <v>0.1</v>
      </c>
      <c r="S32" s="6"/>
    </row>
    <row r="33" spans="1:19" ht="15.75" customHeight="1" thickBot="1" x14ac:dyDescent="0.3">
      <c r="A33" s="94">
        <v>30</v>
      </c>
      <c r="B33" s="151"/>
      <c r="C33" s="81" t="s">
        <v>53</v>
      </c>
      <c r="D33" s="14" t="s">
        <v>93</v>
      </c>
      <c r="E33" s="14" t="s">
        <v>120</v>
      </c>
      <c r="F33" s="41" t="s">
        <v>155</v>
      </c>
      <c r="G33" s="14" t="s">
        <v>191</v>
      </c>
      <c r="H33" s="14" t="s">
        <v>275</v>
      </c>
      <c r="I33" s="35" t="s">
        <v>255</v>
      </c>
      <c r="J33" s="14" t="s">
        <v>183</v>
      </c>
      <c r="K33" s="14">
        <v>100</v>
      </c>
      <c r="L33" s="16">
        <v>1</v>
      </c>
      <c r="M33" s="17">
        <f t="shared" si="2"/>
        <v>5</v>
      </c>
      <c r="N33" s="9" t="s">
        <v>243</v>
      </c>
      <c r="O33" s="100">
        <v>1.4E-3</v>
      </c>
      <c r="P33" s="106">
        <f t="shared" si="0"/>
        <v>0.13999999999999999</v>
      </c>
      <c r="Q33" s="100">
        <v>1.4E-3</v>
      </c>
      <c r="R33" s="69">
        <f t="shared" si="7"/>
        <v>0.13999999999999999</v>
      </c>
      <c r="S33" s="6"/>
    </row>
    <row r="34" spans="1:19" ht="15.75" customHeight="1" thickBot="1" x14ac:dyDescent="0.3">
      <c r="A34" s="94">
        <v>31</v>
      </c>
      <c r="B34" s="151"/>
      <c r="C34" s="81" t="s">
        <v>54</v>
      </c>
      <c r="D34" s="14" t="s">
        <v>94</v>
      </c>
      <c r="E34" s="14" t="s">
        <v>122</v>
      </c>
      <c r="F34" s="41" t="s">
        <v>156</v>
      </c>
      <c r="G34" s="14" t="s">
        <v>190</v>
      </c>
      <c r="H34" s="14"/>
      <c r="I34" s="27" t="s">
        <v>294</v>
      </c>
      <c r="J34" s="14" t="s">
        <v>184</v>
      </c>
      <c r="K34" s="14"/>
      <c r="L34" s="16">
        <v>1</v>
      </c>
      <c r="M34" s="17">
        <f t="shared" si="2"/>
        <v>5</v>
      </c>
      <c r="N34" s="9" t="s">
        <v>240</v>
      </c>
      <c r="O34" s="100">
        <v>0.1</v>
      </c>
      <c r="P34" s="106">
        <f t="shared" si="0"/>
        <v>0</v>
      </c>
      <c r="Q34" s="115">
        <v>0.1</v>
      </c>
      <c r="R34" s="69">
        <f>Q34*M34</f>
        <v>0.5</v>
      </c>
      <c r="S34" s="6" t="s">
        <v>295</v>
      </c>
    </row>
    <row r="35" spans="1:19" ht="15.75" customHeight="1" thickBot="1" x14ac:dyDescent="0.3">
      <c r="A35" s="94">
        <v>32</v>
      </c>
      <c r="B35" s="151"/>
      <c r="C35" s="81" t="s">
        <v>55</v>
      </c>
      <c r="D35" s="14" t="s">
        <v>95</v>
      </c>
      <c r="E35" s="14" t="s">
        <v>120</v>
      </c>
      <c r="F35" s="41" t="s">
        <v>157</v>
      </c>
      <c r="G35" s="14" t="s">
        <v>201</v>
      </c>
      <c r="H35" s="14" t="s">
        <v>276</v>
      </c>
      <c r="I35" s="35" t="s">
        <v>277</v>
      </c>
      <c r="J35" s="14" t="s">
        <v>185</v>
      </c>
      <c r="K35" s="14">
        <v>100</v>
      </c>
      <c r="L35" s="16">
        <v>1</v>
      </c>
      <c r="M35" s="17">
        <f t="shared" si="2"/>
        <v>5</v>
      </c>
      <c r="N35" s="9" t="s">
        <v>243</v>
      </c>
      <c r="O35" s="100">
        <v>1E-3</v>
      </c>
      <c r="P35" s="106">
        <f t="shared" si="0"/>
        <v>0.1</v>
      </c>
      <c r="Q35" s="100">
        <v>1E-3</v>
      </c>
      <c r="R35" s="69">
        <f t="shared" si="7"/>
        <v>0.1</v>
      </c>
      <c r="S35" s="6"/>
    </row>
    <row r="36" spans="1:19" ht="15.75" customHeight="1" thickBot="1" x14ac:dyDescent="0.3">
      <c r="A36" s="94">
        <v>33</v>
      </c>
      <c r="B36" s="152"/>
      <c r="C36" s="84" t="s">
        <v>56</v>
      </c>
      <c r="D36" s="19" t="s">
        <v>96</v>
      </c>
      <c r="E36" s="19" t="s">
        <v>120</v>
      </c>
      <c r="F36" s="42" t="s">
        <v>158</v>
      </c>
      <c r="G36" s="19" t="s">
        <v>201</v>
      </c>
      <c r="H36" s="19" t="s">
        <v>278</v>
      </c>
      <c r="I36" s="37" t="s">
        <v>279</v>
      </c>
      <c r="J36" s="19" t="s">
        <v>186</v>
      </c>
      <c r="K36" s="19">
        <v>100</v>
      </c>
      <c r="L36" s="20">
        <v>1</v>
      </c>
      <c r="M36" s="21">
        <f t="shared" si="2"/>
        <v>5</v>
      </c>
      <c r="N36" s="113" t="s">
        <v>243</v>
      </c>
      <c r="O36" s="105">
        <v>1E-3</v>
      </c>
      <c r="P36" s="106">
        <f t="shared" si="0"/>
        <v>0.1</v>
      </c>
      <c r="Q36" s="105">
        <v>1E-3</v>
      </c>
      <c r="R36" s="69">
        <f t="shared" si="7"/>
        <v>0.1</v>
      </c>
      <c r="S36" s="7"/>
    </row>
    <row r="37" spans="1:19" ht="16.5" thickBot="1" x14ac:dyDescent="0.3">
      <c r="A37" s="94">
        <v>34</v>
      </c>
      <c r="B37" s="57" t="s">
        <v>216</v>
      </c>
      <c r="C37" s="85" t="s">
        <v>58</v>
      </c>
      <c r="D37" s="58" t="s">
        <v>98</v>
      </c>
      <c r="E37" s="58" t="s">
        <v>227</v>
      </c>
      <c r="F37" s="59" t="s">
        <v>124</v>
      </c>
      <c r="G37" s="58" t="s">
        <v>193</v>
      </c>
      <c r="H37" s="58"/>
      <c r="I37" s="60"/>
      <c r="J37" s="58" t="s">
        <v>228</v>
      </c>
      <c r="K37" s="58">
        <v>10</v>
      </c>
      <c r="L37" s="61">
        <v>1</v>
      </c>
      <c r="M37" s="62">
        <f t="shared" si="2"/>
        <v>5</v>
      </c>
      <c r="N37" s="131" t="s">
        <v>296</v>
      </c>
      <c r="O37" s="107">
        <v>0.42199999999999999</v>
      </c>
      <c r="P37" s="106">
        <f>O37*K37</f>
        <v>4.22</v>
      </c>
      <c r="Q37" s="121">
        <v>0.42199999999999999</v>
      </c>
      <c r="R37" s="73">
        <f>Q37*K37</f>
        <v>4.22</v>
      </c>
      <c r="S37" s="78"/>
    </row>
    <row r="38" spans="1:19" ht="15.75" thickBot="1" x14ac:dyDescent="0.3">
      <c r="A38" s="94">
        <v>35</v>
      </c>
      <c r="B38" s="148" t="s">
        <v>217</v>
      </c>
      <c r="C38" s="79" t="s">
        <v>59</v>
      </c>
      <c r="D38" s="10" t="s">
        <v>6</v>
      </c>
      <c r="E38" s="10" t="s">
        <v>231</v>
      </c>
      <c r="F38" s="40" t="s">
        <v>125</v>
      </c>
      <c r="G38" s="10" t="s">
        <v>204</v>
      </c>
      <c r="H38" s="10"/>
      <c r="I38" s="39"/>
      <c r="J38" s="10" t="s">
        <v>228</v>
      </c>
      <c r="K38" s="10">
        <v>10</v>
      </c>
      <c r="L38" s="12">
        <v>1</v>
      </c>
      <c r="M38" s="13">
        <f t="shared" si="2"/>
        <v>5</v>
      </c>
      <c r="N38" s="95" t="s">
        <v>291</v>
      </c>
      <c r="O38" s="106">
        <v>4.8049999999999997</v>
      </c>
      <c r="P38" s="106">
        <f t="shared" si="0"/>
        <v>48.05</v>
      </c>
      <c r="Q38" s="114">
        <v>4.8049999999999997</v>
      </c>
      <c r="R38" s="68">
        <f>Q38*K38</f>
        <v>48.05</v>
      </c>
      <c r="S38" s="4"/>
    </row>
    <row r="39" spans="1:19" ht="15.75" thickBot="1" x14ac:dyDescent="0.3">
      <c r="A39" s="94">
        <v>36</v>
      </c>
      <c r="B39" s="151"/>
      <c r="C39" s="81" t="s">
        <v>60</v>
      </c>
      <c r="D39" s="14" t="s">
        <v>23</v>
      </c>
      <c r="E39" s="14" t="s">
        <v>230</v>
      </c>
      <c r="F39" s="41" t="s">
        <v>126</v>
      </c>
      <c r="G39" s="14" t="s">
        <v>204</v>
      </c>
      <c r="H39" s="14" t="s">
        <v>280</v>
      </c>
      <c r="I39" s="35" t="s">
        <v>255</v>
      </c>
      <c r="J39" s="14" t="s">
        <v>228</v>
      </c>
      <c r="K39" s="14">
        <v>1</v>
      </c>
      <c r="L39" s="16">
        <v>1</v>
      </c>
      <c r="M39" s="17">
        <f t="shared" si="2"/>
        <v>5</v>
      </c>
      <c r="N39" s="9" t="s">
        <v>243</v>
      </c>
      <c r="O39" s="100">
        <v>0.73939999999999995</v>
      </c>
      <c r="P39" s="106">
        <f t="shared" si="0"/>
        <v>0.73939999999999995</v>
      </c>
      <c r="Q39" s="100">
        <v>0.73939999999999995</v>
      </c>
      <c r="R39" s="69">
        <f t="shared" si="4"/>
        <v>3.6969999999999996</v>
      </c>
      <c r="S39" s="6"/>
    </row>
    <row r="40" spans="1:19" s="36" customFormat="1" ht="15.75" thickBot="1" x14ac:dyDescent="0.3">
      <c r="A40" s="94">
        <v>37</v>
      </c>
      <c r="B40" s="151"/>
      <c r="C40" s="80" t="s">
        <v>61</v>
      </c>
      <c r="D40" s="35" t="s">
        <v>99</v>
      </c>
      <c r="E40" s="35" t="s">
        <v>229</v>
      </c>
      <c r="F40" s="18" t="s">
        <v>127</v>
      </c>
      <c r="G40" s="35" t="s">
        <v>205</v>
      </c>
      <c r="H40" s="35" t="s">
        <v>281</v>
      </c>
      <c r="I40" s="35" t="s">
        <v>255</v>
      </c>
      <c r="J40" s="35" t="s">
        <v>228</v>
      </c>
      <c r="K40" s="35">
        <v>1</v>
      </c>
      <c r="L40" s="27">
        <v>1</v>
      </c>
      <c r="M40" s="17">
        <f t="shared" si="2"/>
        <v>5</v>
      </c>
      <c r="N40" s="9" t="s">
        <v>243</v>
      </c>
      <c r="O40" s="100">
        <v>0.20499999999999999</v>
      </c>
      <c r="P40" s="106">
        <f t="shared" si="0"/>
        <v>0.20499999999999999</v>
      </c>
      <c r="Q40" s="100">
        <v>0.20499999999999999</v>
      </c>
      <c r="R40" s="69">
        <f t="shared" si="4"/>
        <v>1.0249999999999999</v>
      </c>
      <c r="S40" s="6"/>
    </row>
    <row r="41" spans="1:19" ht="15.75" thickBot="1" x14ac:dyDescent="0.3">
      <c r="A41" s="94">
        <v>38</v>
      </c>
      <c r="B41" s="151"/>
      <c r="C41" s="81" t="s">
        <v>62</v>
      </c>
      <c r="D41" s="14" t="s">
        <v>100</v>
      </c>
      <c r="E41" s="14" t="s">
        <v>128</v>
      </c>
      <c r="F41" s="41" t="s">
        <v>159</v>
      </c>
      <c r="G41" s="14" t="s">
        <v>206</v>
      </c>
      <c r="H41" s="14" t="s">
        <v>282</v>
      </c>
      <c r="I41" s="35" t="s">
        <v>255</v>
      </c>
      <c r="J41" s="14" t="s">
        <v>228</v>
      </c>
      <c r="K41" s="14">
        <v>1</v>
      </c>
      <c r="L41" s="16">
        <v>1</v>
      </c>
      <c r="M41" s="17">
        <f t="shared" si="2"/>
        <v>5</v>
      </c>
      <c r="N41" s="9" t="s">
        <v>243</v>
      </c>
      <c r="O41" s="100">
        <v>3.7905000000000002</v>
      </c>
      <c r="P41" s="106">
        <f t="shared" si="0"/>
        <v>3.7905000000000002</v>
      </c>
      <c r="Q41" s="100">
        <v>3.7905000000000002</v>
      </c>
      <c r="R41" s="69">
        <f t="shared" si="4"/>
        <v>18.952500000000001</v>
      </c>
      <c r="S41" s="6"/>
    </row>
    <row r="42" spans="1:19" ht="15.75" thickBot="1" x14ac:dyDescent="0.3">
      <c r="A42" s="94">
        <v>39</v>
      </c>
      <c r="B42" s="151"/>
      <c r="C42" s="81" t="s">
        <v>63</v>
      </c>
      <c r="D42" s="14" t="s">
        <v>101</v>
      </c>
      <c r="E42" s="14" t="s">
        <v>129</v>
      </c>
      <c r="F42" s="41" t="s">
        <v>160</v>
      </c>
      <c r="G42" s="14" t="s">
        <v>207</v>
      </c>
      <c r="H42" s="14" t="s">
        <v>283</v>
      </c>
      <c r="I42" s="35" t="s">
        <v>255</v>
      </c>
      <c r="J42" s="14" t="s">
        <v>228</v>
      </c>
      <c r="K42" s="14">
        <v>1</v>
      </c>
      <c r="L42" s="16">
        <v>1</v>
      </c>
      <c r="M42" s="17">
        <f t="shared" si="2"/>
        <v>5</v>
      </c>
      <c r="N42" s="9" t="s">
        <v>243</v>
      </c>
      <c r="O42" s="100">
        <v>3.3090999999999999</v>
      </c>
      <c r="P42" s="106">
        <f t="shared" si="0"/>
        <v>3.3090999999999999</v>
      </c>
      <c r="Q42" s="100">
        <v>3.3090999999999999</v>
      </c>
      <c r="R42" s="69">
        <f t="shared" si="4"/>
        <v>16.545500000000001</v>
      </c>
      <c r="S42" s="6"/>
    </row>
    <row r="43" spans="1:19" ht="15.75" thickBot="1" x14ac:dyDescent="0.3">
      <c r="A43" s="94">
        <v>40</v>
      </c>
      <c r="B43" s="151"/>
      <c r="C43" s="81" t="s">
        <v>235</v>
      </c>
      <c r="D43" s="14" t="s">
        <v>102</v>
      </c>
      <c r="E43" s="14" t="s">
        <v>130</v>
      </c>
      <c r="F43" s="41" t="s">
        <v>161</v>
      </c>
      <c r="G43" s="16" t="s">
        <v>232</v>
      </c>
      <c r="H43" s="14" t="s">
        <v>255</v>
      </c>
      <c r="I43" s="35" t="s">
        <v>255</v>
      </c>
      <c r="J43" s="14" t="s">
        <v>228</v>
      </c>
      <c r="K43" s="14" t="s">
        <v>255</v>
      </c>
      <c r="L43" s="16">
        <v>1</v>
      </c>
      <c r="M43" s="17">
        <f t="shared" si="2"/>
        <v>5</v>
      </c>
      <c r="N43" s="29" t="s">
        <v>223</v>
      </c>
      <c r="O43" s="133">
        <v>7.34</v>
      </c>
      <c r="P43" s="106">
        <f>O43*L43</f>
        <v>7.34</v>
      </c>
      <c r="Q43" s="133">
        <v>7.34</v>
      </c>
      <c r="R43" s="69">
        <v>7.34</v>
      </c>
      <c r="S43" s="74" t="s">
        <v>224</v>
      </c>
    </row>
    <row r="44" spans="1:19" ht="16.5" thickBot="1" x14ac:dyDescent="0.3">
      <c r="A44" s="94">
        <v>42</v>
      </c>
      <c r="B44" s="57" t="s">
        <v>218</v>
      </c>
      <c r="C44" s="85" t="s">
        <v>64</v>
      </c>
      <c r="D44" s="58" t="s">
        <v>103</v>
      </c>
      <c r="E44" s="58" t="s">
        <v>227</v>
      </c>
      <c r="F44" s="59" t="s">
        <v>131</v>
      </c>
      <c r="G44" s="58" t="s">
        <v>208</v>
      </c>
      <c r="H44" s="58"/>
      <c r="I44" s="60"/>
      <c r="J44" s="58" t="s">
        <v>228</v>
      </c>
      <c r="K44" s="58"/>
      <c r="L44" s="61">
        <v>1</v>
      </c>
      <c r="M44" s="62">
        <f t="shared" si="2"/>
        <v>5</v>
      </c>
      <c r="N44" s="131" t="s">
        <v>297</v>
      </c>
      <c r="O44" s="107">
        <v>1.53</v>
      </c>
      <c r="P44" s="106">
        <f>O44*L44</f>
        <v>1.53</v>
      </c>
      <c r="Q44" s="121">
        <v>1.53</v>
      </c>
      <c r="R44" s="73">
        <f>Q44*M44</f>
        <v>7.65</v>
      </c>
      <c r="S44" s="78"/>
    </row>
    <row r="45" spans="1:19" ht="15.75" thickBot="1" x14ac:dyDescent="0.3">
      <c r="A45" s="94">
        <v>43</v>
      </c>
      <c r="B45" s="153" t="s">
        <v>212</v>
      </c>
      <c r="C45" s="79" t="s">
        <v>35</v>
      </c>
      <c r="D45" s="10" t="s">
        <v>75</v>
      </c>
      <c r="E45" s="10" t="s">
        <v>227</v>
      </c>
      <c r="F45" s="40" t="s">
        <v>110</v>
      </c>
      <c r="G45" s="10" t="s">
        <v>195</v>
      </c>
      <c r="H45" s="10"/>
      <c r="I45" s="39"/>
      <c r="J45" s="10" t="s">
        <v>228</v>
      </c>
      <c r="K45" s="10">
        <v>10</v>
      </c>
      <c r="L45" s="12">
        <v>1</v>
      </c>
      <c r="M45" s="13">
        <f t="shared" ref="M45:M50" si="8">L45*5</f>
        <v>5</v>
      </c>
      <c r="N45" s="95" t="s">
        <v>243</v>
      </c>
      <c r="O45" s="97">
        <v>4.1700000000000001E-2</v>
      </c>
      <c r="P45" s="106">
        <f t="shared" si="0"/>
        <v>0.41700000000000004</v>
      </c>
      <c r="Q45" s="119">
        <v>4.1700000000000001E-2</v>
      </c>
      <c r="R45" s="68">
        <f>Q45*K45</f>
        <v>0.41700000000000004</v>
      </c>
      <c r="S45" s="4"/>
    </row>
    <row r="46" spans="1:19" ht="15.75" thickBot="1" x14ac:dyDescent="0.3">
      <c r="A46" s="94">
        <v>44</v>
      </c>
      <c r="B46" s="154"/>
      <c r="C46" s="81" t="s">
        <v>37</v>
      </c>
      <c r="D46" s="14" t="s">
        <v>78</v>
      </c>
      <c r="E46" s="14" t="s">
        <v>227</v>
      </c>
      <c r="F46" s="41" t="s">
        <v>113</v>
      </c>
      <c r="G46" s="14" t="s">
        <v>195</v>
      </c>
      <c r="H46" s="14" t="s">
        <v>284</v>
      </c>
      <c r="I46" s="35" t="s">
        <v>255</v>
      </c>
      <c r="J46" s="14" t="s">
        <v>228</v>
      </c>
      <c r="K46" s="14">
        <v>10</v>
      </c>
      <c r="L46" s="16">
        <v>1</v>
      </c>
      <c r="M46" s="17">
        <f t="shared" si="8"/>
        <v>5</v>
      </c>
      <c r="N46" s="9" t="s">
        <v>243</v>
      </c>
      <c r="O46" s="101">
        <v>4.6399999999999997E-2</v>
      </c>
      <c r="P46" s="106">
        <f>O46*K46</f>
        <v>0.46399999999999997</v>
      </c>
      <c r="Q46" s="116">
        <v>4.9799999999999997E-2</v>
      </c>
      <c r="R46" s="69">
        <f>Q46*K46</f>
        <v>0.498</v>
      </c>
      <c r="S46" s="6"/>
    </row>
    <row r="47" spans="1:19" ht="30.75" thickBot="1" x14ac:dyDescent="0.3">
      <c r="A47" s="94">
        <v>45</v>
      </c>
      <c r="B47" s="154"/>
      <c r="C47" s="81" t="s">
        <v>38</v>
      </c>
      <c r="D47" s="14" t="s">
        <v>79</v>
      </c>
      <c r="E47" s="14" t="s">
        <v>227</v>
      </c>
      <c r="F47" s="14" t="s">
        <v>114</v>
      </c>
      <c r="G47" s="14" t="s">
        <v>197</v>
      </c>
      <c r="H47" s="14" t="s">
        <v>285</v>
      </c>
      <c r="I47" s="35" t="s">
        <v>255</v>
      </c>
      <c r="J47" s="14" t="s">
        <v>228</v>
      </c>
      <c r="K47" s="14">
        <v>5</v>
      </c>
      <c r="L47" s="16">
        <v>1</v>
      </c>
      <c r="M47" s="17">
        <f t="shared" si="8"/>
        <v>5</v>
      </c>
      <c r="N47" s="9" t="s">
        <v>243</v>
      </c>
      <c r="O47" s="101">
        <v>9.1200000000000003E-2</v>
      </c>
      <c r="P47" s="106">
        <f>O47*K47</f>
        <v>0.45600000000000002</v>
      </c>
      <c r="Q47" s="117">
        <v>9.1200000000000003E-2</v>
      </c>
      <c r="R47" s="69">
        <f>Q47*M47</f>
        <v>0.45600000000000002</v>
      </c>
      <c r="S47" s="75" t="s">
        <v>21</v>
      </c>
    </row>
    <row r="48" spans="1:19" ht="15.75" thickBot="1" x14ac:dyDescent="0.3">
      <c r="A48" s="94">
        <v>46</v>
      </c>
      <c r="B48" s="154"/>
      <c r="C48" s="86" t="s">
        <v>57</v>
      </c>
      <c r="D48" s="48" t="s">
        <v>97</v>
      </c>
      <c r="E48" s="48" t="s">
        <v>227</v>
      </c>
      <c r="F48" s="48" t="s">
        <v>123</v>
      </c>
      <c r="G48" s="50" t="s">
        <v>233</v>
      </c>
      <c r="H48" s="50"/>
      <c r="I48" s="50" t="s">
        <v>233</v>
      </c>
      <c r="J48" s="50" t="s">
        <v>233</v>
      </c>
      <c r="K48" s="50"/>
      <c r="L48" s="49">
        <v>2</v>
      </c>
      <c r="M48" s="51">
        <f t="shared" si="8"/>
        <v>10</v>
      </c>
      <c r="N48" s="50" t="s">
        <v>233</v>
      </c>
      <c r="O48" s="108" t="s">
        <v>233</v>
      </c>
      <c r="P48" s="108" t="s">
        <v>233</v>
      </c>
      <c r="Q48" s="108" t="s">
        <v>233</v>
      </c>
      <c r="R48" s="50" t="s">
        <v>233</v>
      </c>
      <c r="S48" s="76" t="s">
        <v>225</v>
      </c>
    </row>
    <row r="49" spans="1:19" ht="15.75" thickBot="1" x14ac:dyDescent="0.3">
      <c r="A49" s="94">
        <v>47</v>
      </c>
      <c r="B49" s="154"/>
      <c r="C49" s="47" t="s">
        <v>237</v>
      </c>
      <c r="D49" s="48" t="s">
        <v>76</v>
      </c>
      <c r="E49" s="48" t="s">
        <v>227</v>
      </c>
      <c r="F49" s="48" t="s">
        <v>111</v>
      </c>
      <c r="G49" s="50" t="s">
        <v>233</v>
      </c>
      <c r="H49" s="50"/>
      <c r="I49" s="50" t="s">
        <v>233</v>
      </c>
      <c r="J49" s="50" t="s">
        <v>233</v>
      </c>
      <c r="K49" s="50"/>
      <c r="L49" s="49">
        <v>1</v>
      </c>
      <c r="M49" s="51">
        <f t="shared" si="8"/>
        <v>5</v>
      </c>
      <c r="N49" s="50" t="s">
        <v>233</v>
      </c>
      <c r="O49" s="108" t="s">
        <v>233</v>
      </c>
      <c r="P49" s="108" t="s">
        <v>233</v>
      </c>
      <c r="Q49" s="108" t="s">
        <v>233</v>
      </c>
      <c r="R49" s="50" t="s">
        <v>233</v>
      </c>
      <c r="S49" s="76" t="s">
        <v>225</v>
      </c>
    </row>
    <row r="50" spans="1:19" ht="15.75" thickBot="1" x14ac:dyDescent="0.3">
      <c r="A50" s="94">
        <v>48</v>
      </c>
      <c r="B50" s="155"/>
      <c r="C50" s="87" t="s">
        <v>36</v>
      </c>
      <c r="D50" s="63" t="s">
        <v>77</v>
      </c>
      <c r="E50" s="63" t="s">
        <v>227</v>
      </c>
      <c r="F50" s="63" t="s">
        <v>112</v>
      </c>
      <c r="G50" s="63" t="s">
        <v>196</v>
      </c>
      <c r="H50" s="63"/>
      <c r="I50" s="64" t="s">
        <v>233</v>
      </c>
      <c r="J50" s="63" t="s">
        <v>233</v>
      </c>
      <c r="K50" s="63"/>
      <c r="L50" s="65">
        <v>1</v>
      </c>
      <c r="M50" s="66">
        <f t="shared" si="8"/>
        <v>5</v>
      </c>
      <c r="N50" s="63" t="s">
        <v>233</v>
      </c>
      <c r="O50" s="109" t="s">
        <v>233</v>
      </c>
      <c r="P50" s="109" t="s">
        <v>233</v>
      </c>
      <c r="Q50" s="109" t="s">
        <v>233</v>
      </c>
      <c r="R50" s="63" t="s">
        <v>233</v>
      </c>
      <c r="S50" s="77" t="s">
        <v>225</v>
      </c>
    </row>
    <row r="51" spans="1:19" ht="19.5" thickBot="1" x14ac:dyDescent="0.35">
      <c r="A51" s="3"/>
      <c r="B51" s="3"/>
      <c r="C51" s="88"/>
      <c r="D51" s="3"/>
      <c r="E51" s="3"/>
      <c r="F51" s="3"/>
      <c r="G51" s="3"/>
      <c r="H51" s="3"/>
      <c r="I51" s="3"/>
      <c r="J51"/>
      <c r="K51"/>
      <c r="L51" s="147" t="s">
        <v>7</v>
      </c>
      <c r="M51" s="147"/>
      <c r="N51" s="147"/>
      <c r="O51" s="147"/>
      <c r="P51" s="123"/>
      <c r="Q51" s="122"/>
      <c r="R51" s="2">
        <f>SUM(R3:R17)</f>
        <v>14.819000000000001</v>
      </c>
      <c r="S51" s="3"/>
    </row>
    <row r="52" spans="1:19" ht="18.75" x14ac:dyDescent="0.3">
      <c r="A52" s="3"/>
      <c r="B52" s="3"/>
      <c r="C52" s="88"/>
      <c r="D52" s="3"/>
      <c r="E52" s="3"/>
      <c r="F52" s="3"/>
      <c r="G52" s="3"/>
      <c r="H52" s="3"/>
      <c r="I52" s="3"/>
      <c r="J52"/>
      <c r="K52"/>
      <c r="L52" s="142" t="s">
        <v>11</v>
      </c>
      <c r="M52" s="142"/>
      <c r="N52" s="142"/>
      <c r="O52" s="142"/>
      <c r="P52" s="124">
        <f>SUM(P3:P17)</f>
        <v>7.944399999999999</v>
      </c>
      <c r="Q52" s="122"/>
      <c r="R52" s="3">
        <f>R51/5</f>
        <v>2.9638</v>
      </c>
      <c r="S52" s="3"/>
    </row>
  </sheetData>
  <mergeCells count="8">
    <mergeCell ref="L52:O52"/>
    <mergeCell ref="A1:Q1"/>
    <mergeCell ref="L51:O51"/>
    <mergeCell ref="B16:B18"/>
    <mergeCell ref="B38:B43"/>
    <mergeCell ref="B3:B14"/>
    <mergeCell ref="B45:B50"/>
    <mergeCell ref="B21:B36"/>
  </mergeCells>
  <conditionalFormatting sqref="P52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{4D908242-0CAE-411C-A7D1-5924318D99E1}</x14:id>
        </ext>
      </extLst>
    </cfRule>
  </conditionalFormatting>
  <conditionalFormatting sqref="S3:S50">
    <cfRule type="dataBar" priority="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{40DC3694-FF5B-41E0-80BB-7AB614178D12}</x14:id>
        </ext>
      </extLst>
    </cfRule>
  </conditionalFormatting>
  <conditionalFormatting sqref="M22:M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{78B90556-F475-4C2C-ACEB-258318CD6316}</x14:id>
        </ext>
      </extLst>
    </cfRule>
  </conditionalFormatting>
  <conditionalFormatting sqref="M3:M21 M24:M50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47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{E90D3905-D18A-4314-85F8-BF4924CFF615}</x14:id>
        </ext>
      </extLst>
    </cfRule>
  </conditionalFormatting>
  <conditionalFormatting sqref="R3:R22 R24:R47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{9F41C311-B53F-4FDE-A999-535E1BB8B4D8}</x14:id>
        </ext>
      </extLst>
    </cfRule>
  </conditionalFormatting>
  <hyperlinks>
    <hyperlink ref="N43" r:id="rId1" xr:uid="{00000000-0004-0000-0000-000000000000}"/>
    <hyperlink ref="N3" r:id="rId2" xr:uid="{00000000-0004-0000-0000-000002000000}"/>
    <hyperlink ref="N4" r:id="rId3" xr:uid="{00000000-0004-0000-0000-000003000000}"/>
    <hyperlink ref="N5" r:id="rId4" xr:uid="{00000000-0004-0000-0000-000004000000}"/>
    <hyperlink ref="N6" r:id="rId5" xr:uid="{00000000-0004-0000-0000-000005000000}"/>
    <hyperlink ref="N7" r:id="rId6" xr:uid="{00000000-0004-0000-0000-000006000000}"/>
    <hyperlink ref="N8" r:id="rId7" xr:uid="{00000000-0004-0000-0000-000007000000}"/>
    <hyperlink ref="N10" r:id="rId8" xr:uid="{00000000-0004-0000-0000-000008000000}"/>
    <hyperlink ref="N11" r:id="rId9" xr:uid="{00000000-0004-0000-0000-000009000000}"/>
    <hyperlink ref="N12" r:id="rId10" xr:uid="{00000000-0004-0000-0000-00000A000000}"/>
    <hyperlink ref="N13" r:id="rId11" xr:uid="{00000000-0004-0000-0000-00000B000000}"/>
    <hyperlink ref="N14" r:id="rId12" xr:uid="{00000000-0004-0000-0000-00000C000000}"/>
    <hyperlink ref="N15" r:id="rId13" xr:uid="{00000000-0004-0000-0000-00000D000000}"/>
    <hyperlink ref="N19" r:id="rId14" xr:uid="{00000000-0004-0000-0000-00000E000000}"/>
    <hyperlink ref="N20" r:id="rId15" xr:uid="{00000000-0004-0000-0000-00000F000000}"/>
    <hyperlink ref="N21" r:id="rId16" xr:uid="{00000000-0004-0000-0000-000010000000}"/>
    <hyperlink ref="N24" r:id="rId17" xr:uid="{00000000-0004-0000-0000-000013000000}"/>
    <hyperlink ref="N25" r:id="rId18" xr:uid="{00000000-0004-0000-0000-000014000000}"/>
    <hyperlink ref="N27" r:id="rId19" xr:uid="{00000000-0004-0000-0000-000015000000}"/>
    <hyperlink ref="N28" r:id="rId20" xr:uid="{00000000-0004-0000-0000-000016000000}"/>
    <hyperlink ref="N29" r:id="rId21" xr:uid="{00000000-0004-0000-0000-000017000000}"/>
    <hyperlink ref="N30" r:id="rId22" xr:uid="{00000000-0004-0000-0000-000018000000}"/>
    <hyperlink ref="N32" r:id="rId23" xr:uid="{00000000-0004-0000-0000-000019000000}"/>
    <hyperlink ref="N33" r:id="rId24" xr:uid="{00000000-0004-0000-0000-00001A000000}"/>
    <hyperlink ref="N35" r:id="rId25" xr:uid="{00000000-0004-0000-0000-00001B000000}"/>
    <hyperlink ref="N36" r:id="rId26" xr:uid="{00000000-0004-0000-0000-00001C000000}"/>
    <hyperlink ref="N39" r:id="rId27" xr:uid="{00000000-0004-0000-0000-00001D000000}"/>
    <hyperlink ref="N40" r:id="rId28" xr:uid="{00000000-0004-0000-0000-00001E000000}"/>
    <hyperlink ref="N41" r:id="rId29" xr:uid="{00000000-0004-0000-0000-00001F000000}"/>
    <hyperlink ref="N42" r:id="rId30" xr:uid="{00000000-0004-0000-0000-000020000000}"/>
    <hyperlink ref="N46" r:id="rId31" xr:uid="{00000000-0004-0000-0000-000021000000}"/>
    <hyperlink ref="N47" r:id="rId32" xr:uid="{00000000-0004-0000-0000-000022000000}"/>
    <hyperlink ref="N9" r:id="rId33" xr:uid="{C1197E8D-E3AC-44CE-94C8-916B875515AF}"/>
    <hyperlink ref="N17" r:id="rId34" xr:uid="{1DBC1B98-F0C9-48C3-AA84-D0BB5C47F039}"/>
    <hyperlink ref="N18" r:id="rId35" xr:uid="{A34AFA22-A648-42EE-90E6-D4496C15266B}"/>
    <hyperlink ref="N26" r:id="rId36" xr:uid="{752E4E65-EA48-4F4E-954E-5C487C09A5CC}"/>
    <hyperlink ref="N34" r:id="rId37" xr:uid="{E64422A1-B740-4971-BC12-37DD52C931A8}"/>
    <hyperlink ref="N37" r:id="rId38" xr:uid="{9A0F05C9-B5D9-4D6C-B900-9908C71C7ED6}"/>
    <hyperlink ref="N38" r:id="rId39" xr:uid="{AFAB4A27-14BE-4FAD-BD97-7D84DD8AE995}"/>
    <hyperlink ref="N44" r:id="rId40" xr:uid="{AF0AE388-4DB6-4171-B05C-1C8D0705C220}"/>
    <hyperlink ref="N45" r:id="rId41" xr:uid="{5E9EE798-AF96-48DB-AEC6-825DB63E13B7}"/>
    <hyperlink ref="N22" r:id="rId42" xr:uid="{0A5ADD17-C5BD-49F2-9B15-EF83B354A585}"/>
  </hyperlinks>
  <pageMargins left="0.7" right="0.7" top="0.75" bottom="0.75" header="0.3" footer="0.3"/>
  <pageSetup orientation="portrait" horizontalDpi="300" verticalDpi="300" r:id="rId4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908242-0CAE-411C-A7D1-5924318D9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P52</xm:sqref>
        </x14:conditionalFormatting>
        <x14:conditionalFormatting xmlns:xm="http://schemas.microsoft.com/office/excel/2006/main">
          <x14:cfRule type="dataBar" id="{40DC3694-FF5B-41E0-80BB-7AB614178D1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S3:S50</xm:sqref>
        </x14:conditionalFormatting>
        <x14:conditionalFormatting xmlns:xm="http://schemas.microsoft.com/office/excel/2006/main">
          <x14:cfRule type="dataBar" id="{78B90556-F475-4C2C-ACEB-258318CD63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E90D3905-D18A-4314-85F8-BF4924CFF6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P3:P47</xm:sqref>
        </x14:conditionalFormatting>
        <x14:conditionalFormatting xmlns:xm="http://schemas.microsoft.com/office/excel/2006/main">
          <x14:cfRule type="dataBar" id="{9F41C311-B53F-4FDE-A999-535E1BB8B4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R3:R22 R24:R47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user</cp:lastModifiedBy>
  <dcterms:created xsi:type="dcterms:W3CDTF">2020-10-13T11:47:55Z</dcterms:created>
  <dcterms:modified xsi:type="dcterms:W3CDTF">2021-07-12T14:28:47Z</dcterms:modified>
</cp:coreProperties>
</file>