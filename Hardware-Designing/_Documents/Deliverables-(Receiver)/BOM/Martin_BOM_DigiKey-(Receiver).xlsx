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park\Martin_Smith\Hardware-Designing\_Documents\Deliverables-(Receiver)\BOM\"/>
    </mc:Choice>
  </mc:AlternateContent>
  <xr:revisionPtr revIDLastSave="0" documentId="13_ncr:1_{9111565F-00E6-45CF-A60C-8018005687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31" i="1" l="1"/>
  <c r="K31" i="1"/>
  <c r="P31" i="1" s="1"/>
  <c r="N23" i="1"/>
  <c r="N22" i="1"/>
  <c r="K22" i="1"/>
  <c r="P22" i="1" s="1"/>
  <c r="K23" i="1"/>
  <c r="P23" i="1" s="1"/>
  <c r="N9" i="1"/>
  <c r="K9" i="1"/>
  <c r="P9" i="1" s="1"/>
  <c r="N7" i="1" l="1"/>
  <c r="N4" i="1" l="1"/>
  <c r="N5" i="1"/>
  <c r="N6" i="1"/>
  <c r="N8" i="1"/>
  <c r="N10" i="1"/>
  <c r="N11" i="1"/>
  <c r="N12" i="1"/>
  <c r="N13" i="1"/>
  <c r="N14" i="1"/>
  <c r="N15" i="1"/>
  <c r="N45" i="1"/>
  <c r="N46" i="1"/>
  <c r="N47" i="1"/>
  <c r="N16" i="1"/>
  <c r="N17" i="1"/>
  <c r="N18" i="1"/>
  <c r="N19" i="1"/>
  <c r="N20" i="1"/>
  <c r="N21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K6" i="1"/>
  <c r="P6" i="1" s="1"/>
  <c r="K4" i="1"/>
  <c r="P4" i="1" s="1"/>
  <c r="K3" i="1"/>
  <c r="P3" i="1" s="1"/>
  <c r="K18" i="1"/>
  <c r="P18" i="1" s="1"/>
  <c r="K19" i="1"/>
  <c r="P19" i="1" s="1"/>
  <c r="K20" i="1"/>
  <c r="P20" i="1" s="1"/>
  <c r="K21" i="1"/>
  <c r="P21" i="1" s="1"/>
  <c r="K24" i="1"/>
  <c r="P24" i="1" s="1"/>
  <c r="K25" i="1"/>
  <c r="P25" i="1" s="1"/>
  <c r="K26" i="1"/>
  <c r="P26" i="1" s="1"/>
  <c r="K27" i="1"/>
  <c r="P27" i="1" s="1"/>
  <c r="K28" i="1"/>
  <c r="P28" i="1" s="1"/>
  <c r="K29" i="1"/>
  <c r="P29" i="1" s="1"/>
  <c r="K30" i="1"/>
  <c r="P30" i="1" s="1"/>
  <c r="K32" i="1"/>
  <c r="P32" i="1" s="1"/>
  <c r="K33" i="1"/>
  <c r="P33" i="1" s="1"/>
  <c r="K34" i="1"/>
  <c r="P34" i="1" s="1"/>
  <c r="K35" i="1"/>
  <c r="P35" i="1" s="1"/>
  <c r="K36" i="1"/>
  <c r="P36" i="1" s="1"/>
  <c r="K48" i="1"/>
  <c r="K37" i="1"/>
  <c r="P37" i="1" s="1"/>
  <c r="K38" i="1"/>
  <c r="P38" i="1" s="1"/>
  <c r="K39" i="1"/>
  <c r="P39" i="1" s="1"/>
  <c r="K40" i="1"/>
  <c r="P40" i="1" s="1"/>
  <c r="K41" i="1"/>
  <c r="P41" i="1" s="1"/>
  <c r="K42" i="1"/>
  <c r="P42" i="1" s="1"/>
  <c r="K43" i="1"/>
  <c r="K44" i="1"/>
  <c r="P44" i="1" s="1"/>
  <c r="K46" i="1"/>
  <c r="P46" i="1" s="1"/>
  <c r="K16" i="1"/>
  <c r="P16" i="1" s="1"/>
  <c r="K15" i="1"/>
  <c r="P15" i="1" s="1"/>
  <c r="K10" i="1"/>
  <c r="P10" i="1" s="1"/>
  <c r="N3" i="1"/>
  <c r="K5" i="1"/>
  <c r="P5" i="1" s="1"/>
  <c r="K7" i="1"/>
  <c r="P7" i="1" s="1"/>
  <c r="K8" i="1"/>
  <c r="P8" i="1" s="1"/>
  <c r="K11" i="1"/>
  <c r="P11" i="1" s="1"/>
  <c r="K12" i="1"/>
  <c r="P12" i="1" s="1"/>
  <c r="K13" i="1"/>
  <c r="P13" i="1" s="1"/>
  <c r="K14" i="1"/>
  <c r="P14" i="1" s="1"/>
  <c r="K45" i="1"/>
  <c r="P45" i="1" s="1"/>
  <c r="K49" i="1"/>
  <c r="K50" i="1"/>
  <c r="K47" i="1"/>
  <c r="P47" i="1" s="1"/>
  <c r="K17" i="1"/>
  <c r="P17" i="1" s="1"/>
  <c r="P51" i="1" l="1"/>
  <c r="P52" i="1" s="1"/>
  <c r="N52" i="1"/>
</calcChain>
</file>

<file path=xl/sharedStrings.xml><?xml version="1.0" encoding="utf-8"?>
<sst xmlns="http://schemas.openxmlformats.org/spreadsheetml/2006/main" count="432" uniqueCount="266">
  <si>
    <t>S. No.</t>
  </si>
  <si>
    <t>Description</t>
  </si>
  <si>
    <t>Designator</t>
  </si>
  <si>
    <t>Footprint (Package)</t>
  </si>
  <si>
    <t>Manufacturer Part Number</t>
  </si>
  <si>
    <t>Value</t>
  </si>
  <si>
    <t>U1</t>
  </si>
  <si>
    <t xml:space="preserve">Total Component Cost </t>
  </si>
  <si>
    <t>Unit Cost(1)</t>
  </si>
  <si>
    <t>Total Cost(1)</t>
  </si>
  <si>
    <t>Quantity (Per Board)</t>
  </si>
  <si>
    <t>Single Board Cost</t>
  </si>
  <si>
    <t>Remarks</t>
  </si>
  <si>
    <t>DigiKey Link</t>
  </si>
  <si>
    <t>DigiKey</t>
  </si>
  <si>
    <t>Alternate</t>
  </si>
  <si>
    <t>Quantity 5</t>
  </si>
  <si>
    <t>Unit Cost (5 Boards)</t>
  </si>
  <si>
    <t>Total Cost (5)</t>
  </si>
  <si>
    <t>LED</t>
  </si>
  <si>
    <t>R3</t>
  </si>
  <si>
    <t>R6</t>
  </si>
  <si>
    <t>Mouser</t>
  </si>
  <si>
    <t>The only available vibration sensor on digikey</t>
  </si>
  <si>
    <t>10K</t>
  </si>
  <si>
    <t>U2</t>
  </si>
  <si>
    <t>CAP CER 0.022UF 25V X5R 0201</t>
  </si>
  <si>
    <t>CAP CER 22UF 10V X5R 0603</t>
  </si>
  <si>
    <t>CAP CER 0.1UF 35V X5R 0201</t>
  </si>
  <si>
    <t>CAP CER 1UF 16V X5R 0201</t>
  </si>
  <si>
    <t>CAP CER 4700PF 25V X5R 0201</t>
  </si>
  <si>
    <t>CAP CER 2.7PF 25V NP0 0402</t>
  </si>
  <si>
    <t>CAP CER 10UF 25V X5R 0603</t>
  </si>
  <si>
    <t>CAP CER X7R 0201</t>
  </si>
  <si>
    <t>CAP TANT 10UF 20% 25V 2312</t>
  </si>
  <si>
    <t>CAP CER 4.7PF 16V C0G/NP0 0402</t>
  </si>
  <si>
    <t>DIODE SCHOTTKY 40V 3A DO214AB</t>
  </si>
  <si>
    <t>CONN HEADER VERT 3POS 2MM</t>
  </si>
  <si>
    <t>CABLE ADAPTER 6 POS</t>
  </si>
  <si>
    <t>CONN HEADER VERT 4POS 2MM</t>
  </si>
  <si>
    <t>CONN U.FL RCPT STR 50 OHM SMD</t>
  </si>
  <si>
    <t>Ind Power Wirewound 10uH 20% Ferrite Core T/R</t>
  </si>
  <si>
    <t>FIXED IND 22UH 1.6A 106 MOHM SMD</t>
  </si>
  <si>
    <t>FIXED IND 1.6NH 660MA 150 MOHM</t>
  </si>
  <si>
    <t>Led White Clear 0603 SMD</t>
  </si>
  <si>
    <t>TRANS 2NPN PREBIAS 0.15W UMT6</t>
  </si>
  <si>
    <t>RES 150K OHM 1% 1/20W 0201</t>
  </si>
  <si>
    <t>RES SMD 18K OHM 1% 1/20W 0201</t>
  </si>
  <si>
    <t>RES SMD 1.1K OHM 1% 1/20W 0201</t>
  </si>
  <si>
    <t>RES SMD 10K OHM 5% 1/20W 0201</t>
  </si>
  <si>
    <t>THERMISTOR NTC 10KOHM 3380K 0402</t>
  </si>
  <si>
    <t>RES SMD 100K OHM 1% 1/20W 0201</t>
  </si>
  <si>
    <t>RES SMD 56K OHM 1% 1/20W 0201</t>
  </si>
  <si>
    <t>RES 1K OHM 1% 1/20W 0201</t>
  </si>
  <si>
    <t>RES 198K OHM 0.5% 1/16W 0402</t>
  </si>
  <si>
    <t>RES SMD 1.2K OHM 5% 1/20W 0201</t>
  </si>
  <si>
    <t>RES 320K OHM 0.25% 1/10W 0603</t>
  </si>
  <si>
    <t>RES 6.2K OHM 5% 1/20W 0201</t>
  </si>
  <si>
    <t>RES 2K OHM 5% 1/20W 0201</t>
  </si>
  <si>
    <t>Solder Bridge ON</t>
  </si>
  <si>
    <t>SWITCH TACTILE SPST-NO 0.05A 12V</t>
  </si>
  <si>
    <t>IC REG BOOST ADJ 7A 11VQFN</t>
  </si>
  <si>
    <t>IC BATT CHG LI-ION 1CELL 10MSOP</t>
  </si>
  <si>
    <t>IC REG LINEAR 3.3V 1A 8XDFN</t>
  </si>
  <si>
    <t>RX TXRX MOD WIFI SURFACE MOUNT</t>
  </si>
  <si>
    <t>Motor Driver, Stepper, QFN-28</t>
  </si>
  <si>
    <t>RF ANT 2.4GHZ STAMPED MET SLD</t>
  </si>
  <si>
    <t>C1, C18</t>
  </si>
  <si>
    <t>C2, C3, C6, C11, C23, C24</t>
  </si>
  <si>
    <t>C4, C5</t>
  </si>
  <si>
    <t>C9</t>
  </si>
  <si>
    <t>C26</t>
  </si>
  <si>
    <t>C27</t>
  </si>
  <si>
    <t>C29</t>
  </si>
  <si>
    <t>C30, C31</t>
  </si>
  <si>
    <t>C32</t>
  </si>
  <si>
    <t>D2, D3</t>
  </si>
  <si>
    <t>J1</t>
  </si>
  <si>
    <t>J2</t>
  </si>
  <si>
    <t>J3</t>
  </si>
  <si>
    <t>J4</t>
  </si>
  <si>
    <t>J5</t>
  </si>
  <si>
    <t>L1</t>
  </si>
  <si>
    <t>L2</t>
  </si>
  <si>
    <t>L3</t>
  </si>
  <si>
    <t>LED2</t>
  </si>
  <si>
    <t>Q1</t>
  </si>
  <si>
    <t>R1, R4</t>
  </si>
  <si>
    <t>R2</t>
  </si>
  <si>
    <t>R5</t>
  </si>
  <si>
    <t>R8, R12</t>
  </si>
  <si>
    <t>R9, R18</t>
  </si>
  <si>
    <t>R10</t>
  </si>
  <si>
    <t>R11, R14, RF5</t>
  </si>
  <si>
    <t>R13</t>
  </si>
  <si>
    <t>R17</t>
  </si>
  <si>
    <t>R19</t>
  </si>
  <si>
    <t>R27</t>
  </si>
  <si>
    <t>R28</t>
  </si>
  <si>
    <t>SB1, SB2</t>
  </si>
  <si>
    <t>SW2</t>
  </si>
  <si>
    <t>U3</t>
  </si>
  <si>
    <t>U4</t>
  </si>
  <si>
    <t>U5</t>
  </si>
  <si>
    <t>U7</t>
  </si>
  <si>
    <t>U8</t>
  </si>
  <si>
    <t>CAP 0201</t>
  </si>
  <si>
    <t>Cap0402</t>
  </si>
  <si>
    <t>Cap0603</t>
  </si>
  <si>
    <t>Cap 0201</t>
  </si>
  <si>
    <t>Cap Case-C</t>
  </si>
  <si>
    <t>SMC</t>
  </si>
  <si>
    <t>B3B-PH-K-S(LF)(SN)</t>
  </si>
  <si>
    <t>SMD PAD</t>
  </si>
  <si>
    <t>TC2030-IDC</t>
  </si>
  <si>
    <t>B4B-PH-K-S(LF)(SN)</t>
  </si>
  <si>
    <t>U.FL-R-SMT-1(80)</t>
  </si>
  <si>
    <t>SRN5040TA-100M</t>
  </si>
  <si>
    <t>SRU8028-220Y</t>
  </si>
  <si>
    <t>Ind 0402</t>
  </si>
  <si>
    <t>LED 0603</t>
  </si>
  <si>
    <t>SOT-363</t>
  </si>
  <si>
    <t>Res-0201</t>
  </si>
  <si>
    <t>Res0402</t>
  </si>
  <si>
    <t>Res0603</t>
  </si>
  <si>
    <t>Solder Bridge</t>
  </si>
  <si>
    <t>434121025816</t>
  </si>
  <si>
    <t>TPS61089RNRT</t>
  </si>
  <si>
    <t>BQ24092DGQR</t>
  </si>
  <si>
    <t>NCP186AMX330TAG</t>
  </si>
  <si>
    <t>48-SMD Module</t>
  </si>
  <si>
    <t>QFN-28</t>
  </si>
  <si>
    <t>SOP-8</t>
  </si>
  <si>
    <t>PRO-OB-440</t>
  </si>
  <si>
    <t>TMK063BJ223KP-F</t>
  </si>
  <si>
    <t>GRM155R61A475MEAAD</t>
  </si>
  <si>
    <t>GRM187R61A226ME15D</t>
  </si>
  <si>
    <t>GRM033R6YA104ME14D</t>
  </si>
  <si>
    <t>CL03A105MO3NRNH</t>
  </si>
  <si>
    <t>GRM033R61E472MA12D</t>
  </si>
  <si>
    <t>04023A2R7BAT2A</t>
  </si>
  <si>
    <t>GRM188R61E106KA73D</t>
  </si>
  <si>
    <t>CC0201KRX7R8BB103</t>
  </si>
  <si>
    <t>293D106X0025C2TE3</t>
  </si>
  <si>
    <t>885012005023</t>
  </si>
  <si>
    <t>HLC021R6BTTR</t>
  </si>
  <si>
    <t>IN-S63AT5UW</t>
  </si>
  <si>
    <t>UMH3NTN</t>
  </si>
  <si>
    <t>RMCF0201FT150K</t>
  </si>
  <si>
    <t>RC0201FR-0718KL</t>
  </si>
  <si>
    <t>RC0201FR-071K1L</t>
  </si>
  <si>
    <t>RC0201JR-0710KL</t>
  </si>
  <si>
    <t>B57230V2103F260</t>
  </si>
  <si>
    <t>RC0201FR-07100KL</t>
  </si>
  <si>
    <t>AC0201FR-0756KL</t>
  </si>
  <si>
    <t>RC0201FR-071KP</t>
  </si>
  <si>
    <t>RN73H1ETTP1983D25</t>
  </si>
  <si>
    <t>RC0201JR-071K2L</t>
  </si>
  <si>
    <t>RN73H1JTTD3203C25</t>
  </si>
  <si>
    <t>RMCF0201JT6K20</t>
  </si>
  <si>
    <t>RMCF0201JT2K00</t>
  </si>
  <si>
    <t>ESP32-PICO-D4</t>
  </si>
  <si>
    <t>TMC2209-LA-T</t>
  </si>
  <si>
    <t>XKT-510 T3168</t>
  </si>
  <si>
    <t>22nF</t>
  </si>
  <si>
    <t>4.7uF</t>
  </si>
  <si>
    <t>22uF</t>
  </si>
  <si>
    <t>0.1uF</t>
  </si>
  <si>
    <t>1uF</t>
  </si>
  <si>
    <t>4.7nF</t>
  </si>
  <si>
    <t>2.7pF</t>
  </si>
  <si>
    <t>10uf</t>
  </si>
  <si>
    <t>10000pF</t>
  </si>
  <si>
    <t>10uF</t>
  </si>
  <si>
    <t>4.7pF</t>
  </si>
  <si>
    <t>10µH</t>
  </si>
  <si>
    <t>22uH</t>
  </si>
  <si>
    <t>1.6nH</t>
  </si>
  <si>
    <t>150K</t>
  </si>
  <si>
    <t>18K</t>
  </si>
  <si>
    <t>1.1K</t>
  </si>
  <si>
    <t>100K</t>
  </si>
  <si>
    <t>56K</t>
  </si>
  <si>
    <t>1K</t>
  </si>
  <si>
    <t>198K</t>
  </si>
  <si>
    <t>1.2k</t>
  </si>
  <si>
    <t>320K</t>
  </si>
  <si>
    <t>6.2K</t>
  </si>
  <si>
    <t>2K</t>
  </si>
  <si>
    <t>Taiyo Yuden</t>
  </si>
  <si>
    <t>Murata</t>
  </si>
  <si>
    <t>Samsung</t>
  </si>
  <si>
    <t>Kyocera AVX</t>
  </si>
  <si>
    <t>Yageo</t>
  </si>
  <si>
    <t>Vishay Sprague</t>
  </si>
  <si>
    <t>Wurth Electronics</t>
  </si>
  <si>
    <t>Vishay Semiconductors</t>
  </si>
  <si>
    <t>JST</t>
  </si>
  <si>
    <t>Tag-Connect</t>
  </si>
  <si>
    <t>Hirose</t>
  </si>
  <si>
    <t>Bourns</t>
  </si>
  <si>
    <t>Inolux</t>
  </si>
  <si>
    <t>Rohm</t>
  </si>
  <si>
    <t>Stackpole Electronics</t>
  </si>
  <si>
    <t>TDK EPCOS</t>
  </si>
  <si>
    <t>KOA Speer</t>
  </si>
  <si>
    <t>Texas Instruments</t>
  </si>
  <si>
    <t>ON Semiconductor</t>
  </si>
  <si>
    <t>Espressif Systems</t>
  </si>
  <si>
    <t>Trinamic</t>
  </si>
  <si>
    <t>Proant</t>
  </si>
  <si>
    <t>Manufacturer</t>
  </si>
  <si>
    <t>Components</t>
  </si>
  <si>
    <t>Capacitors</t>
  </si>
  <si>
    <t>Connectors</t>
  </si>
  <si>
    <t>Inductor</t>
  </si>
  <si>
    <t>Transistor</t>
  </si>
  <si>
    <t>Resistors</t>
  </si>
  <si>
    <t>SWITCH</t>
  </si>
  <si>
    <t>Ics</t>
  </si>
  <si>
    <t>Antenna</t>
  </si>
  <si>
    <t>Diode</t>
  </si>
  <si>
    <t>SS34-E3/57T</t>
  </si>
  <si>
    <t>RC0402FR-07200KL</t>
  </si>
  <si>
    <t>available in 0603 package only</t>
  </si>
  <si>
    <t>Ali express</t>
  </si>
  <si>
    <t>RT0603DRD07320KL</t>
  </si>
  <si>
    <t>$7.34/lot (20pieces)</t>
  </si>
  <si>
    <t>DO NOT Mount</t>
  </si>
  <si>
    <t xml:space="preserve">CAP CER 4.7UF 10V X5R 0402
</t>
  </si>
  <si>
    <t>Custom</t>
  </si>
  <si>
    <t>-----------</t>
  </si>
  <si>
    <t xml:space="preserve"> 
8-XDFN</t>
  </si>
  <si>
    <t>10MSOP</t>
  </si>
  <si>
    <t>11VQFN</t>
  </si>
  <si>
    <t>JYSMPJDZ</t>
  </si>
  <si>
    <t>-------------</t>
  </si>
  <si>
    <t>R16, RF1, RF2, RF3, R7</t>
  </si>
  <si>
    <t>Digikey</t>
  </si>
  <si>
    <t xml:space="preserve">Wireless charging receiver IC Receive universal </t>
  </si>
  <si>
    <t>--------</t>
  </si>
  <si>
    <t>-----------------</t>
  </si>
  <si>
    <t>C7, C10, C12, C14, C15, C16, C17, C,20, C25, C33, CF2</t>
  </si>
  <si>
    <t>C8, C13, C21, C22, C28, C34, CF1</t>
  </si>
  <si>
    <t>CAP ALUM 47µF, 16 V SMD</t>
  </si>
  <si>
    <t>C19</t>
  </si>
  <si>
    <t>EEEFT1C470AR</t>
  </si>
  <si>
    <t>Panasonic</t>
  </si>
  <si>
    <t>47uF</t>
  </si>
  <si>
    <t>RES SMD 604K OHM 1% 1/20W 0201</t>
  </si>
  <si>
    <t xml:space="preserve">RES SMD 107kΩ ±1% 1/20W  0201 </t>
  </si>
  <si>
    <t>RC0201FR-07604KL</t>
  </si>
  <si>
    <t>0201WMF1073TEE</t>
  </si>
  <si>
    <t>UNI-ROYAL(Uniroyal Elec)</t>
  </si>
  <si>
    <t>604K</t>
  </si>
  <si>
    <t>107K</t>
  </si>
  <si>
    <t>ERJ-1GNF1073C</t>
  </si>
  <si>
    <t>RES SMD 0.18Ω ±5% 1W ±200ppm/℃ 2512</t>
  </si>
  <si>
    <t>R15, R20</t>
  </si>
  <si>
    <t>RES 2512</t>
  </si>
  <si>
    <t>RTT25R18JTE</t>
  </si>
  <si>
    <t>RALEC</t>
  </si>
  <si>
    <t>RL73K3AR18JTE</t>
  </si>
  <si>
    <t>180m</t>
  </si>
  <si>
    <t>DigKey</t>
  </si>
  <si>
    <t>Bill of Material (BOM) for  Martin Smith Receiver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</si>
</sst>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"/>
    <numFmt numFmtId="165" formatCode="_-[$$-409]* #,##0.00_ ;_-[$$-409]* \-#,##0.00\ ;_-[$$-409]* &quot;-&quot;??_ ;_-@_ "/>
    <numFmt numFmtId="166" formatCode="_-[$$-409]* #,##0.00000_ ;_-[$$-409]* \-#,##0.00000\ ;_-[$$-409]* &quot;-&quot;?????_ ;_-@_ "/>
  </numFmts>
  <fonts count="1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4" borderId="4" applyNumberFormat="0" applyAlignment="0" applyProtection="0"/>
    <xf numFmtId="0" fontId="16" fillId="6" borderId="0" applyNumberFormat="0" applyBorder="0" applyAlignment="0" applyProtection="0"/>
  </cellStyleXfs>
  <cellXfs count="152">
    <xf numFmtId="0" fontId="0" fillId="0" borderId="0" xfId="0"/>
    <xf numFmtId="0" fontId="1" fillId="4" borderId="0" xfId="2" applyBorder="1"/>
    <xf numFmtId="165" fontId="6" fillId="3" borderId="0" xfId="0" applyNumberFormat="1" applyFont="1" applyFill="1"/>
    <xf numFmtId="165" fontId="7" fillId="3" borderId="0" xfId="0" applyNumberFormat="1" applyFont="1" applyFill="1"/>
    <xf numFmtId="165" fontId="7" fillId="3" borderId="5" xfId="0" applyNumberFormat="1" applyFont="1" applyFill="1" applyBorder="1" applyAlignment="1">
      <alignment horizontal="center"/>
    </xf>
    <xf numFmtId="165" fontId="7" fillId="3" borderId="0" xfId="0" applyNumberFormat="1" applyFont="1" applyFill="1" applyBorder="1"/>
    <xf numFmtId="165" fontId="4" fillId="0" borderId="6" xfId="0" applyNumberFormat="1" applyFont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3" fillId="0" borderId="1" xfId="1" applyBorder="1" applyAlignment="1" applyProtection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quotePrefix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164" fontId="4" fillId="0" borderId="1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</xf>
    <xf numFmtId="0" fontId="12" fillId="0" borderId="1" xfId="1" applyFont="1" applyBorder="1" applyAlignment="1" applyProtection="1">
      <alignment horizontal="center" vertical="center"/>
    </xf>
    <xf numFmtId="0" fontId="12" fillId="0" borderId="8" xfId="1" applyFont="1" applyBorder="1" applyAlignment="1" applyProtection="1">
      <alignment horizontal="center" vertical="center"/>
    </xf>
    <xf numFmtId="0" fontId="12" fillId="0" borderId="17" xfId="1" applyFont="1" applyBorder="1" applyAlignment="1" applyProtection="1">
      <alignment horizontal="center" vertical="center"/>
    </xf>
    <xf numFmtId="0" fontId="4" fillId="0" borderId="10" xfId="0" quotePrefix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0" xfId="0" applyNumberFormat="1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2" fillId="0" borderId="10" xfId="1" applyFont="1" applyBorder="1" applyAlignment="1" applyProtection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1" fillId="4" borderId="0" xfId="2" applyBorder="1" applyAlignment="1"/>
    <xf numFmtId="165" fontId="4" fillId="0" borderId="17" xfId="0" applyNumberFormat="1" applyFont="1" applyBorder="1" applyAlignment="1">
      <alignment horizontal="center"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0" fontId="4" fillId="3" borderId="8" xfId="0" quotePrefix="1" applyFont="1" applyFill="1" applyBorder="1" applyAlignment="1">
      <alignment horizontal="center" vertical="center" wrapText="1"/>
    </xf>
    <xf numFmtId="0" fontId="4" fillId="3" borderId="17" xfId="0" quotePrefix="1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4" fontId="10" fillId="0" borderId="1" xfId="2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4" fillId="5" borderId="20" xfId="0" quotePrefix="1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quotePrefix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5" fontId="4" fillId="0" borderId="8" xfId="0" applyNumberFormat="1" applyFont="1" applyBorder="1" applyAlignment="1">
      <alignment horizontal="center" vertical="center"/>
    </xf>
    <xf numFmtId="0" fontId="4" fillId="3" borderId="10" xfId="0" quotePrefix="1" applyFont="1" applyFill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/>
    </xf>
    <xf numFmtId="0" fontId="10" fillId="0" borderId="17" xfId="0" quotePrefix="1" applyFont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4" fillId="0" borderId="13" xfId="0" quotePrefix="1" applyFont="1" applyBorder="1" applyAlignment="1">
      <alignment horizontal="center" vertical="center" wrapText="1"/>
    </xf>
    <xf numFmtId="0" fontId="4" fillId="3" borderId="13" xfId="0" quotePrefix="1" applyFont="1" applyFill="1" applyBorder="1" applyAlignment="1">
      <alignment horizontal="center" vertical="center" wrapText="1"/>
    </xf>
    <xf numFmtId="0" fontId="4" fillId="0" borderId="13" xfId="0" quotePrefix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12" fillId="0" borderId="13" xfId="1" applyFont="1" applyBorder="1" applyAlignment="1" applyProtection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0" fontId="14" fillId="5" borderId="8" xfId="0" quotePrefix="1" applyFont="1" applyFill="1" applyBorder="1" applyAlignment="1">
      <alignment horizontal="center" vertical="center" wrapText="1"/>
    </xf>
    <xf numFmtId="0" fontId="14" fillId="5" borderId="8" xfId="0" quotePrefix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166" fontId="4" fillId="0" borderId="12" xfId="0" applyNumberFormat="1" applyFont="1" applyFill="1" applyBorder="1" applyAlignment="1">
      <alignment horizontal="center" vertical="center"/>
    </xf>
    <xf numFmtId="166" fontId="4" fillId="0" borderId="20" xfId="0" applyNumberFormat="1" applyFont="1" applyFill="1" applyBorder="1" applyAlignment="1">
      <alignment horizontal="center" vertical="center"/>
    </xf>
    <xf numFmtId="166" fontId="4" fillId="0" borderId="14" xfId="0" applyNumberFormat="1" applyFont="1" applyFill="1" applyBorder="1" applyAlignment="1">
      <alignment horizontal="center" vertical="center"/>
    </xf>
    <xf numFmtId="166" fontId="4" fillId="0" borderId="16" xfId="0" applyNumberFormat="1" applyFont="1" applyFill="1" applyBorder="1" applyAlignment="1">
      <alignment horizontal="center" vertical="center"/>
    </xf>
    <xf numFmtId="166" fontId="4" fillId="0" borderId="24" xfId="0" applyNumberFormat="1" applyFont="1" applyFill="1" applyBorder="1" applyAlignment="1">
      <alignment horizontal="center" vertical="center"/>
    </xf>
    <xf numFmtId="166" fontId="4" fillId="0" borderId="31" xfId="0" applyNumberFormat="1" applyFont="1" applyFill="1" applyBorder="1" applyAlignment="1">
      <alignment horizontal="center" vertical="center"/>
    </xf>
    <xf numFmtId="8" fontId="4" fillId="0" borderId="6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4" fillId="0" borderId="3" xfId="0" applyNumberFormat="1" applyFont="1" applyFill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 wrapText="1"/>
    </xf>
    <xf numFmtId="165" fontId="15" fillId="5" borderId="3" xfId="0" applyNumberFormat="1" applyFont="1" applyFill="1" applyBorder="1" applyAlignment="1">
      <alignment horizontal="center" vertical="center"/>
    </xf>
    <xf numFmtId="165" fontId="15" fillId="5" borderId="9" xfId="0" applyNumberFormat="1" applyFont="1" applyFill="1" applyBorder="1" applyAlignment="1">
      <alignment horizontal="center" vertical="center"/>
    </xf>
    <xf numFmtId="165" fontId="4" fillId="0" borderId="32" xfId="0" applyNumberFormat="1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left" vertical="center" wrapText="1"/>
    </xf>
    <xf numFmtId="0" fontId="4" fillId="0" borderId="20" xfId="0" quotePrefix="1" applyFont="1" applyBorder="1" applyAlignment="1">
      <alignment horizontal="left" vertical="center"/>
    </xf>
    <xf numFmtId="0" fontId="4" fillId="0" borderId="20" xfId="0" quotePrefix="1" applyFont="1" applyBorder="1" applyAlignment="1">
      <alignment horizontal="left" vertical="center" wrapText="1"/>
    </xf>
    <xf numFmtId="0" fontId="4" fillId="0" borderId="14" xfId="0" quotePrefix="1" applyFont="1" applyBorder="1" applyAlignment="1">
      <alignment horizontal="left" vertical="center" wrapText="1"/>
    </xf>
    <xf numFmtId="0" fontId="4" fillId="0" borderId="16" xfId="0" quotePrefix="1" applyFont="1" applyBorder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4" fillId="0" borderId="31" xfId="0" quotePrefix="1" applyFont="1" applyBorder="1" applyAlignment="1">
      <alignment horizontal="left" vertical="center" wrapText="1"/>
    </xf>
    <xf numFmtId="0" fontId="14" fillId="5" borderId="20" xfId="0" quotePrefix="1" applyFont="1" applyFill="1" applyBorder="1" applyAlignment="1">
      <alignment horizontal="left" vertical="center" wrapText="1"/>
    </xf>
    <xf numFmtId="0" fontId="14" fillId="5" borderId="24" xfId="0" quotePrefix="1" applyFont="1" applyFill="1" applyBorder="1" applyAlignment="1">
      <alignment horizontal="left" vertical="center" wrapText="1"/>
    </xf>
    <xf numFmtId="165" fontId="7" fillId="3" borderId="0" xfId="0" applyNumberFormat="1" applyFont="1" applyFill="1" applyBorder="1" applyAlignment="1">
      <alignment horizontal="left"/>
    </xf>
    <xf numFmtId="0" fontId="1" fillId="4" borderId="0" xfId="2" applyBorder="1" applyAlignment="1">
      <alignment horizontal="left"/>
    </xf>
    <xf numFmtId="0" fontId="4" fillId="0" borderId="12" xfId="0" quotePrefix="1" applyFont="1" applyBorder="1" applyAlignment="1">
      <alignment horizontal="left" vertical="center"/>
    </xf>
    <xf numFmtId="0" fontId="4" fillId="3" borderId="2" xfId="0" quotePrefix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165" fontId="16" fillId="6" borderId="0" xfId="3" applyNumberFormat="1" applyBorder="1"/>
    <xf numFmtId="0" fontId="0" fillId="0" borderId="1" xfId="0" quotePrefix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33" xfId="0" quotePrefix="1" applyFont="1" applyBorder="1" applyAlignment="1">
      <alignment horizontal="center" vertical="center" wrapText="1"/>
    </xf>
    <xf numFmtId="164" fontId="4" fillId="0" borderId="33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3" fillId="0" borderId="33" xfId="1" applyBorder="1" applyAlignment="1" applyProtection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wrapText="1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wrapText="1"/>
    </xf>
    <xf numFmtId="0" fontId="13" fillId="0" borderId="2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center" vertical="center"/>
    </xf>
  </cellXfs>
  <cellStyles count="4">
    <cellStyle name="Check Cell" xfId="2" builtinId="23"/>
    <cellStyle name="Good" xfId="3" builtinId="26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jst-sales-america-inc/B3B-PH-K-S-LF-SN/926612?s=N4IgTCBcDaIEIGY4FoAKAJZBpZBlAFADIBiAlPrgHKkgC6AvkA" TargetMode="External"/><Relationship Id="rId18" Type="http://schemas.openxmlformats.org/officeDocument/2006/relationships/hyperlink" Target="https://www.digikey.com/en/products/detail/avx-corporation/HLC021R6BTTR/3528355?s=N4IgTCBcDaIBIBkDCAGMBGASgNgEIBV9MQBdAXyA" TargetMode="External"/><Relationship Id="rId26" Type="http://schemas.openxmlformats.org/officeDocument/2006/relationships/hyperlink" Target="https://www.digikey.com/en/products/detail/yageo/AC0201FR-0756KL/5894726?s=N4IgTCBcDaIIIGEAMYkEYBiAlAtEg7AKwBsA0gDIgC6AvkA" TargetMode="External"/><Relationship Id="rId39" Type="http://schemas.openxmlformats.org/officeDocument/2006/relationships/hyperlink" Target="https://www.digikey.com/en/products/detail/proant-ab/PRO-OB-440/4895679?s=N4IgTCBcDaIAoCUDyBaJAhFAWLAGEAugL5A" TargetMode="External"/><Relationship Id="rId21" Type="http://schemas.openxmlformats.org/officeDocument/2006/relationships/hyperlink" Target="https://www.digikey.com/en/products/detail/stackpole-electronics-inc/RMCF0201FT150K/4439989?s=N4IgTCBcDaIEoFkDCAxADGNBGFAVLArGgNIgC6AvkA" TargetMode="External"/><Relationship Id="rId34" Type="http://schemas.openxmlformats.org/officeDocument/2006/relationships/hyperlink" Target="https://www.digikey.com/en/products/detail/texas-instruments/TPS61089RNRT/6572481" TargetMode="External"/><Relationship Id="rId42" Type="http://schemas.openxmlformats.org/officeDocument/2006/relationships/hyperlink" Target="https://eu.mouser.com/ProductDetail/Panasonic/EEE-FT1C470AR?qs=%2Fha2pyFadug8Pl57h5%252BWR1DVrh14wXMLyFus5A068zmstN6j1P%252Bmmg%3D%3D&amp;utm_source=octopart&amp;utm_medium=aggregator&amp;utm_campaign=667-EEE-FT1C470AR&amp;utm_content=Panasonic" TargetMode="External"/><Relationship Id="rId7" Type="http://schemas.openxmlformats.org/officeDocument/2006/relationships/hyperlink" Target="https://www.digikey.com/en/products/detail/avx-corporation/04023A2R7BAT2A/1597178?s=N4IgTCBcDaIAwBY5gMwEEwCUDsAhNAKmGiALoC%2BQA" TargetMode="External"/><Relationship Id="rId2" Type="http://schemas.openxmlformats.org/officeDocument/2006/relationships/hyperlink" Target="https://www.digikey.com/en/products/detail/murata-electronics/GRM155R61A475MEAAD/6234735?s=N4IgTCBcDaIOICUCyBGArGhA2FBBALAOxpICiuuAIiALoC%2BQA" TargetMode="External"/><Relationship Id="rId16" Type="http://schemas.openxmlformats.org/officeDocument/2006/relationships/hyperlink" Target="https://www.digikey.com/en/products/detail/bourns-inc/SRN5040TA-100M/9653876?s=N4IgTCBcDaIMoCUByBWADAFjQFQIIFoBGNNAWRAF0BfIA" TargetMode="External"/><Relationship Id="rId29" Type="http://schemas.openxmlformats.org/officeDocument/2006/relationships/hyperlink" Target="https://www.digikey.com/en/products/detail/yageo/RC0201JR-071K2L/1948917?s=N4IgTCBcDaIEoGEAMYkEYBScC0SDsaA0mADIgC6AvkA" TargetMode="External"/><Relationship Id="rId1" Type="http://schemas.openxmlformats.org/officeDocument/2006/relationships/hyperlink" Target="https://www.digikey.com/en/products/detail/taiyo-yuden/TMK063BJ223KP-F/7403536" TargetMode="External"/><Relationship Id="rId6" Type="http://schemas.openxmlformats.org/officeDocument/2006/relationships/hyperlink" Target="https://www.digikey.com/en/products/detail/murata-electronics/GRM033R61E472MA12D/4904736?s=N4IgTCBcDaIOICUCyAGAzGhA2AjAUQBYB2MJAQRzABEQBdAXyA" TargetMode="External"/><Relationship Id="rId11" Type="http://schemas.openxmlformats.org/officeDocument/2006/relationships/hyperlink" Target="https://www.digikey.com/en/products/detail/w%C3%BCrth-elektronik/885012005023/5453294?s=N4IgTCBcDaIBxwKwAYCMZnJWAzCAugL5A" TargetMode="External"/><Relationship Id="rId24" Type="http://schemas.openxmlformats.org/officeDocument/2006/relationships/hyperlink" Target="https://www.digikey.com/en/products/detail/epcos-tdk-electronics/B57230V2103F260/4360619?s=N4IgTCBcDaIEIFYDsYDMAGAamAjO1AYmAGzogC6AvkA" TargetMode="External"/><Relationship Id="rId32" Type="http://schemas.openxmlformats.org/officeDocument/2006/relationships/hyperlink" Target="https://www.digikey.com/en/products/detail/stackpole-electronics-inc/RMCF0201JT2K00/5966065?s=N4IgTCBcDaIEoFkDCAxADGNBGAUgFTAGk00QBdAXyA" TargetMode="External"/><Relationship Id="rId37" Type="http://schemas.openxmlformats.org/officeDocument/2006/relationships/hyperlink" Target="https://www.digikey.com/en/products/detail/espressif-systems/ESP32-PICO-D4/9381722" TargetMode="External"/><Relationship Id="rId40" Type="http://schemas.openxmlformats.org/officeDocument/2006/relationships/hyperlink" Target="https://www.aliexpress.com/item/4000294177041.html" TargetMode="External"/><Relationship Id="rId45" Type="http://schemas.openxmlformats.org/officeDocument/2006/relationships/hyperlink" Target="https://www.digikey.com/en/products/detail/te-connectivity-passive-product/RL73K3AR18JTE/2364983" TargetMode="External"/><Relationship Id="rId5" Type="http://schemas.openxmlformats.org/officeDocument/2006/relationships/hyperlink" Target="https://www.digikey.com/en/products/detail/samsung-electro-mechanics/CL03A105MO3NRNH/5961282?s=N4IgTCBcDaIMIBkAMBmAggRiQVgLIHkUA5AJSIAkQBdAXyA" TargetMode="External"/><Relationship Id="rId15" Type="http://schemas.openxmlformats.org/officeDocument/2006/relationships/hyperlink" Target="https://www.digikey.com/en/products/detail/hirose-electric-co-ltd/U-FL-R-SMT-1-80/3978495?s=N4IgTCBcDaIKoDoBiAZAtAJTQZQLIBU0BGACgA4AGAShAF0BfIA" TargetMode="External"/><Relationship Id="rId23" Type="http://schemas.openxmlformats.org/officeDocument/2006/relationships/hyperlink" Target="https://www.digikey.com/en/products/detail/yageo/RC0201FR-071K1L/5280334?s=N4IgTCBcDaIEoGEAMYkEYBicC0SDsaA0mgDIgC6AvkA" TargetMode="External"/><Relationship Id="rId28" Type="http://schemas.openxmlformats.org/officeDocument/2006/relationships/hyperlink" Target="https://www.digikey.com/en/products/detail/yageo/RC0201JR-0710KL/1948901?s=N4IgTCBcDaIEoGEAMYkEYBScC0SDsaSA0gDIgC6AvkA" TargetMode="External"/><Relationship Id="rId36" Type="http://schemas.openxmlformats.org/officeDocument/2006/relationships/hyperlink" Target="https://www.digikey.com/en/products/detail/on-semiconductor/NCP186AMX330TAG/5761743?s=N4IgTCBcDaIHIGEAKBGAHANgIIFkAaAzAQAwAqWA4iALoC%2BQA" TargetMode="External"/><Relationship Id="rId10" Type="http://schemas.openxmlformats.org/officeDocument/2006/relationships/hyperlink" Target="https://www.digikey.com/en/products/detail/vishay-sprague/293D106X0025C2TE3/1559396?s=N4IgTCBcDa4JwGYAiBGADANgBprWArAMJgAqAogiALoC%2BQA" TargetMode="External"/><Relationship Id="rId19" Type="http://schemas.openxmlformats.org/officeDocument/2006/relationships/hyperlink" Target="https://www.digikey.com/en/products/detail/inolux/IN-S63AT5UW/7604931?s=N4IgTCBcDaIJIDkC0BlAbAZgIIBUCsAqgOogC6AvkA" TargetMode="External"/><Relationship Id="rId31" Type="http://schemas.openxmlformats.org/officeDocument/2006/relationships/hyperlink" Target="https://www.digikey.com/en/products/detail/stackpole-electronics-inc/RMCF0201JT6K20/5966075?s=N4IgTCBcDaIEoFkDCAxADGNBGAUgFQDYBpTEAXQF8g" TargetMode="External"/><Relationship Id="rId44" Type="http://schemas.openxmlformats.org/officeDocument/2006/relationships/hyperlink" Target="https://www.digikey.com/en/products/detail/panasonic-electronic-components/ERJ-1GNF1073C/2036343" TargetMode="External"/><Relationship Id="rId4" Type="http://schemas.openxmlformats.org/officeDocument/2006/relationships/hyperlink" Target="https://www.digikey.com/en/products/detail/murata-electronics/GRM033R6YA104ME14D/5027516?s=N4IgTCBcDaIOICUCyAGAzGhA2AmgQQEYUAWJAUQOIBEQBdAXyA" TargetMode="External"/><Relationship Id="rId9" Type="http://schemas.openxmlformats.org/officeDocument/2006/relationships/hyperlink" Target="https://www.digikey.com/en/products/detail/yageo/CC0201KRX7R8BB103/11489620?s=N4IgTCBcDaIMJwAxkQRgNICUAaB2TAHAEJGqIDMIAugL5A" TargetMode="External"/><Relationship Id="rId14" Type="http://schemas.openxmlformats.org/officeDocument/2006/relationships/hyperlink" Target="https://www.digikey.com/en/products/detail/jst-sales-america-inc/B4B-PH-K-S-LF-SN/926613?s=N4IgTCBcDaIEIBY4FoAKAJZBpZBlAFADIBiAlPrgHKkgC6AvkA" TargetMode="External"/><Relationship Id="rId22" Type="http://schemas.openxmlformats.org/officeDocument/2006/relationships/hyperlink" Target="https://www.digikey.com/en/products/detail/yageo/RC0201FR-0718KL/1948892?s=N4IgTCBcDaIEoGEAMYkEYBicC0SDsaAHANIAyIAugL5A" TargetMode="External"/><Relationship Id="rId27" Type="http://schemas.openxmlformats.org/officeDocument/2006/relationships/hyperlink" Target="https://www.digikey.com/en/products/detail/yageo/RC0201FR-071KP/12698916?s=N4IgTCBcDaIEoGEAMYkEYBicC0SDsaA0gAogC6AvkA" TargetMode="External"/><Relationship Id="rId30" Type="http://schemas.openxmlformats.org/officeDocument/2006/relationships/hyperlink" Target="https://eu.mouser.com/ProductDetail/Yageo/RT0603DRD07320KL/?qs=ABvmyp11KkhJ2c1FEjGD5A==" TargetMode="External"/><Relationship Id="rId35" Type="http://schemas.openxmlformats.org/officeDocument/2006/relationships/hyperlink" Target="https://www.digikey.com/en/products/detail/texas-instruments/BQ24092DGQR/2353311?s=N4IgTCBcDaIEIEUwBYAMBOMARA4ggSiALoC%2BQA" TargetMode="External"/><Relationship Id="rId43" Type="http://schemas.openxmlformats.org/officeDocument/2006/relationships/hyperlink" Target="https://www.digikey.com/en/products/detail/RC0201FR-07604KL/YAG2746CT-ND/5281610?utm_campaign=buynow&amp;utm_medium=aggregator&amp;curr=usd&amp;utm_source=octopart" TargetMode="External"/><Relationship Id="rId8" Type="http://schemas.openxmlformats.org/officeDocument/2006/relationships/hyperlink" Target="https://www.digikey.com/en/products/detail/murata-electronics/GRM188R61E106KA73D/9867922?s=N4IgTCBcDaIOICUCyBGAHGhA2FBRFADFgNICCA7AMwAiIAugL5A" TargetMode="External"/><Relationship Id="rId3" Type="http://schemas.openxmlformats.org/officeDocument/2006/relationships/hyperlink" Target="https://www.digikey.com/en/products/detail/murata-electronics/GRM187R61A226ME15D/5877406?s=N4IgTCBcDaIOICUCyBGAHAdgQNhQQTDGyQFEUBWAERAF0BfIA" TargetMode="External"/><Relationship Id="rId12" Type="http://schemas.openxmlformats.org/officeDocument/2006/relationships/hyperlink" Target="https://www.digikey.com/en/products/detail/vishay-general-semiconductor-diodes-division/SS34-E3-57T/1091684" TargetMode="External"/><Relationship Id="rId17" Type="http://schemas.openxmlformats.org/officeDocument/2006/relationships/hyperlink" Target="https://www.digikey.com/en/products/detail/bourns-inc/SRU8028-220Y/2562506?s=N4IgTCBcDaIMoCUCqAOADGFBaMY0E0QBdAXyA" TargetMode="External"/><Relationship Id="rId25" Type="http://schemas.openxmlformats.org/officeDocument/2006/relationships/hyperlink" Target="https://www.digikey.com/en/products/detail/yageo/RC0201FR-07100KL/1948859?s=N4IgTCBcDaIEoGEAMYkEYBicC0SDsaSSA0gDIgC6AvkA" TargetMode="External"/><Relationship Id="rId33" Type="http://schemas.openxmlformats.org/officeDocument/2006/relationships/hyperlink" Target="https://www.digikey.com/en/products/detail/w%C3%BCrth-elektronik/434121025816/5209078?s=N4IgTCBcDaICwGY4EYzIAxgKwA5kDYQBdAXyA" TargetMode="External"/><Relationship Id="rId38" Type="http://schemas.openxmlformats.org/officeDocument/2006/relationships/hyperlink" Target="digikey.com/en/products/detail/trinamic-motion-control-gmbh/TMC2209-LA-T/10232491%3fs=N4IgTCBcDaICoFkDCYwAYCcBaAMgQSzhAF0BfIA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www.digikey.com/en/products/detail/rohm-semiconductor/UMH3NTN/659279?s=N4IgTCBcDaIKoFkASBmAcgFTSAugXyA" TargetMode="External"/><Relationship Id="rId41" Type="http://schemas.openxmlformats.org/officeDocument/2006/relationships/hyperlink" Target="https://www.digikey.com/en/products/detail/yageo/RC0402FR-07200KL/726558?s=N4IgTCBcDaIEoGEAMAWJYBicC0SDsYSSA0gDIg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zoomScale="85" zoomScaleNormal="85" workbookViewId="0">
      <selection activeCell="Q14" sqref="A1:Q14"/>
    </sheetView>
  </sheetViews>
  <sheetFormatPr defaultRowHeight="15" x14ac:dyDescent="0.25"/>
  <cols>
    <col min="1" max="1" width="6.7109375" style="1" bestFit="1" customWidth="1"/>
    <col min="2" max="2" width="23.42578125" style="1" customWidth="1"/>
    <col min="3" max="3" width="39.28515625" style="121" bestFit="1" customWidth="1"/>
    <col min="4" max="4" width="23.42578125" style="1" customWidth="1"/>
    <col min="5" max="5" width="20.5703125" style="1" bestFit="1" customWidth="1"/>
    <col min="6" max="6" width="28.42578125" style="1" bestFit="1" customWidth="1"/>
    <col min="7" max="7" width="19.85546875" style="1" bestFit="1" customWidth="1"/>
    <col min="8" max="8" width="17.5703125" style="1" bestFit="1" customWidth="1"/>
    <col min="9" max="9" width="8.42578125" style="1" bestFit="1" customWidth="1"/>
    <col min="10" max="10" width="21.85546875" style="1" customWidth="1"/>
    <col min="11" max="11" width="13.85546875" style="1" bestFit="1" customWidth="1"/>
    <col min="12" max="12" width="15" style="1" customWidth="1"/>
    <col min="13" max="13" width="15.42578125" style="1" customWidth="1"/>
    <col min="14" max="14" width="13.140625" style="1" bestFit="1" customWidth="1"/>
    <col min="15" max="16" width="23" style="1" customWidth="1"/>
    <col min="17" max="17" width="31.42578125" style="1" customWidth="1"/>
    <col min="18" max="16384" width="9.140625" style="1"/>
  </cols>
  <sheetData>
    <row r="1" spans="1:17" ht="16.5" thickBot="1" x14ac:dyDescent="0.3">
      <c r="A1" s="139" t="s">
        <v>265</v>
      </c>
      <c r="B1" s="140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2"/>
      <c r="P1" s="89"/>
      <c r="Q1" s="69"/>
    </row>
    <row r="2" spans="1:17" ht="16.5" thickBot="1" x14ac:dyDescent="0.3">
      <c r="A2" s="71" t="s">
        <v>0</v>
      </c>
      <c r="B2" s="124" t="s">
        <v>212</v>
      </c>
      <c r="C2" s="71" t="s">
        <v>1</v>
      </c>
      <c r="D2" s="71" t="s">
        <v>2</v>
      </c>
      <c r="E2" s="71" t="s">
        <v>3</v>
      </c>
      <c r="F2" s="71" t="s">
        <v>4</v>
      </c>
      <c r="G2" s="71" t="s">
        <v>211</v>
      </c>
      <c r="H2" s="71" t="s">
        <v>15</v>
      </c>
      <c r="I2" s="71" t="s">
        <v>5</v>
      </c>
      <c r="J2" s="71" t="s">
        <v>10</v>
      </c>
      <c r="K2" s="71" t="s">
        <v>16</v>
      </c>
      <c r="L2" s="125" t="s">
        <v>13</v>
      </c>
      <c r="M2" s="71" t="s">
        <v>8</v>
      </c>
      <c r="N2" s="71" t="s">
        <v>9</v>
      </c>
      <c r="O2" s="71" t="s">
        <v>17</v>
      </c>
      <c r="P2" s="70" t="s">
        <v>18</v>
      </c>
      <c r="Q2" s="71" t="s">
        <v>12</v>
      </c>
    </row>
    <row r="3" spans="1:17" ht="15.75" thickBot="1" x14ac:dyDescent="0.3">
      <c r="A3" s="126">
        <v>1</v>
      </c>
      <c r="B3" s="144" t="s">
        <v>213</v>
      </c>
      <c r="C3" s="111" t="s">
        <v>26</v>
      </c>
      <c r="D3" s="12" t="s">
        <v>67</v>
      </c>
      <c r="E3" s="12" t="s">
        <v>106</v>
      </c>
      <c r="F3" s="55" t="s">
        <v>134</v>
      </c>
      <c r="G3" s="12" t="s">
        <v>189</v>
      </c>
      <c r="H3" s="13" t="s">
        <v>236</v>
      </c>
      <c r="I3" s="12" t="s">
        <v>164</v>
      </c>
      <c r="J3" s="14">
        <v>2</v>
      </c>
      <c r="K3" s="15">
        <f>J3*5</f>
        <v>10</v>
      </c>
      <c r="L3" s="38" t="s">
        <v>14</v>
      </c>
      <c r="M3" s="16">
        <v>0.1</v>
      </c>
      <c r="N3" s="17">
        <f>J3*M3</f>
        <v>0.2</v>
      </c>
      <c r="O3" s="96">
        <v>2.1000000000000001E-2</v>
      </c>
      <c r="P3" s="90">
        <f>O3*K3</f>
        <v>0.21000000000000002</v>
      </c>
      <c r="Q3" s="6"/>
    </row>
    <row r="4" spans="1:17" s="50" customFormat="1" ht="15.75" thickBot="1" x14ac:dyDescent="0.3">
      <c r="A4" s="126">
        <v>2</v>
      </c>
      <c r="B4" s="147"/>
      <c r="C4" s="112" t="s">
        <v>229</v>
      </c>
      <c r="D4" s="49" t="s">
        <v>68</v>
      </c>
      <c r="E4" s="49" t="s">
        <v>107</v>
      </c>
      <c r="F4" s="23" t="s">
        <v>135</v>
      </c>
      <c r="G4" s="49" t="s">
        <v>190</v>
      </c>
      <c r="H4" s="19" t="s">
        <v>236</v>
      </c>
      <c r="I4" s="49" t="s">
        <v>165</v>
      </c>
      <c r="J4" s="37">
        <v>6</v>
      </c>
      <c r="K4" s="21">
        <f>J4*5</f>
        <v>30</v>
      </c>
      <c r="L4" s="39" t="s">
        <v>14</v>
      </c>
      <c r="M4" s="62">
        <v>0.22</v>
      </c>
      <c r="N4" s="61">
        <f>J4*M4</f>
        <v>1.32</v>
      </c>
      <c r="O4" s="97">
        <v>0.14699999999999999</v>
      </c>
      <c r="P4" s="91">
        <f t="shared" ref="P4:P44" si="0">O4*K4</f>
        <v>4.41</v>
      </c>
      <c r="Q4" s="8"/>
    </row>
    <row r="5" spans="1:17" ht="15.75" thickBot="1" x14ac:dyDescent="0.3">
      <c r="A5" s="126">
        <v>3</v>
      </c>
      <c r="B5" s="147"/>
      <c r="C5" s="113" t="s">
        <v>27</v>
      </c>
      <c r="D5" s="18" t="s">
        <v>69</v>
      </c>
      <c r="E5" s="18" t="s">
        <v>108</v>
      </c>
      <c r="F5" s="56" t="s">
        <v>136</v>
      </c>
      <c r="G5" s="18" t="s">
        <v>190</v>
      </c>
      <c r="H5" s="19" t="s">
        <v>236</v>
      </c>
      <c r="I5" s="18" t="s">
        <v>166</v>
      </c>
      <c r="J5" s="20">
        <v>2</v>
      </c>
      <c r="K5" s="21">
        <f t="shared" ref="K5:K44" si="1">J5*5</f>
        <v>10</v>
      </c>
      <c r="L5" s="39" t="s">
        <v>14</v>
      </c>
      <c r="M5" s="24">
        <v>0.52</v>
      </c>
      <c r="N5" s="61">
        <f t="shared" ref="N5:N44" si="2">J5*M5</f>
        <v>1.04</v>
      </c>
      <c r="O5" s="98">
        <v>0.36499999999999999</v>
      </c>
      <c r="P5" s="91">
        <f t="shared" si="0"/>
        <v>3.65</v>
      </c>
      <c r="Q5" s="7"/>
    </row>
    <row r="6" spans="1:17" ht="26.25" thickBot="1" x14ac:dyDescent="0.3">
      <c r="A6" s="126">
        <v>4</v>
      </c>
      <c r="B6" s="147"/>
      <c r="C6" s="113" t="s">
        <v>28</v>
      </c>
      <c r="D6" s="18" t="s">
        <v>242</v>
      </c>
      <c r="E6" s="18" t="s">
        <v>106</v>
      </c>
      <c r="F6" s="56" t="s">
        <v>137</v>
      </c>
      <c r="G6" s="18" t="s">
        <v>190</v>
      </c>
      <c r="H6" s="19" t="s">
        <v>236</v>
      </c>
      <c r="I6" s="18" t="s">
        <v>167</v>
      </c>
      <c r="J6" s="20">
        <v>11</v>
      </c>
      <c r="K6" s="21">
        <f>J6*5</f>
        <v>55</v>
      </c>
      <c r="L6" s="39" t="s">
        <v>14</v>
      </c>
      <c r="M6" s="22">
        <v>5.0999999999999997E-2</v>
      </c>
      <c r="N6" s="61">
        <f t="shared" si="2"/>
        <v>0.56099999999999994</v>
      </c>
      <c r="O6" s="97">
        <v>2.7799999999999998E-2</v>
      </c>
      <c r="P6" s="91">
        <f t="shared" si="0"/>
        <v>1.5289999999999999</v>
      </c>
      <c r="Q6" s="7"/>
    </row>
    <row r="7" spans="1:17" ht="26.25" thickBot="1" x14ac:dyDescent="0.3">
      <c r="A7" s="126">
        <v>5</v>
      </c>
      <c r="B7" s="147"/>
      <c r="C7" s="113" t="s">
        <v>29</v>
      </c>
      <c r="D7" s="18" t="s">
        <v>243</v>
      </c>
      <c r="E7" s="18" t="s">
        <v>106</v>
      </c>
      <c r="F7" s="56" t="s">
        <v>138</v>
      </c>
      <c r="G7" s="18" t="s">
        <v>191</v>
      </c>
      <c r="H7" s="19" t="s">
        <v>236</v>
      </c>
      <c r="I7" s="18" t="s">
        <v>168</v>
      </c>
      <c r="J7" s="20">
        <v>7</v>
      </c>
      <c r="K7" s="21">
        <f t="shared" si="1"/>
        <v>35</v>
      </c>
      <c r="L7" s="39" t="s">
        <v>14</v>
      </c>
      <c r="M7" s="25">
        <v>0.189</v>
      </c>
      <c r="N7" s="61">
        <f>J7*M7</f>
        <v>1.323</v>
      </c>
      <c r="O7" s="99">
        <v>0.1132</v>
      </c>
      <c r="P7" s="91">
        <f t="shared" si="0"/>
        <v>3.9619999999999997</v>
      </c>
      <c r="Q7" s="7"/>
    </row>
    <row r="8" spans="1:17" ht="15.75" thickBot="1" x14ac:dyDescent="0.3">
      <c r="A8" s="126">
        <v>6</v>
      </c>
      <c r="B8" s="147"/>
      <c r="C8" s="113" t="s">
        <v>30</v>
      </c>
      <c r="D8" s="18" t="s">
        <v>70</v>
      </c>
      <c r="E8" s="18" t="s">
        <v>109</v>
      </c>
      <c r="F8" s="56" t="s">
        <v>139</v>
      </c>
      <c r="G8" s="18" t="s">
        <v>190</v>
      </c>
      <c r="H8" s="19" t="s">
        <v>236</v>
      </c>
      <c r="I8" s="18" t="s">
        <v>169</v>
      </c>
      <c r="J8" s="20">
        <v>1</v>
      </c>
      <c r="K8" s="21">
        <f t="shared" si="1"/>
        <v>5</v>
      </c>
      <c r="L8" s="39" t="s">
        <v>14</v>
      </c>
      <c r="M8" s="22">
        <v>0.1</v>
      </c>
      <c r="N8" s="61">
        <f t="shared" si="2"/>
        <v>0.1</v>
      </c>
      <c r="O8" s="97">
        <v>0.1</v>
      </c>
      <c r="P8" s="91">
        <f t="shared" si="0"/>
        <v>0.5</v>
      </c>
      <c r="Q8" s="7"/>
    </row>
    <row r="9" spans="1:17" ht="15.75" thickBot="1" x14ac:dyDescent="0.3">
      <c r="A9" s="126">
        <v>7</v>
      </c>
      <c r="B9" s="147"/>
      <c r="C9" s="137" t="s">
        <v>244</v>
      </c>
      <c r="D9" s="18" t="s">
        <v>245</v>
      </c>
      <c r="E9" s="18" t="s">
        <v>246</v>
      </c>
      <c r="F9" s="18" t="s">
        <v>246</v>
      </c>
      <c r="G9" s="18" t="s">
        <v>247</v>
      </c>
      <c r="H9" s="19" t="s">
        <v>236</v>
      </c>
      <c r="I9" s="18" t="s">
        <v>248</v>
      </c>
      <c r="J9" s="20">
        <v>1</v>
      </c>
      <c r="K9" s="21">
        <f t="shared" si="1"/>
        <v>5</v>
      </c>
      <c r="L9" s="11" t="s">
        <v>22</v>
      </c>
      <c r="M9" s="22">
        <v>0.57499999999999996</v>
      </c>
      <c r="N9" s="61">
        <f t="shared" si="2"/>
        <v>0.57499999999999996</v>
      </c>
      <c r="O9" s="97">
        <v>0.57499999999999996</v>
      </c>
      <c r="P9" s="91">
        <f t="shared" si="0"/>
        <v>2.875</v>
      </c>
      <c r="Q9" s="7"/>
    </row>
    <row r="10" spans="1:17" ht="15.75" thickBot="1" x14ac:dyDescent="0.3">
      <c r="A10" s="126">
        <v>8</v>
      </c>
      <c r="B10" s="147"/>
      <c r="C10" s="113" t="s">
        <v>31</v>
      </c>
      <c r="D10" s="18" t="s">
        <v>71</v>
      </c>
      <c r="E10" s="18" t="s">
        <v>107</v>
      </c>
      <c r="F10" s="56" t="s">
        <v>140</v>
      </c>
      <c r="G10" s="18" t="s">
        <v>192</v>
      </c>
      <c r="H10" s="19" t="s">
        <v>236</v>
      </c>
      <c r="I10" s="18" t="s">
        <v>170</v>
      </c>
      <c r="J10" s="20">
        <v>1</v>
      </c>
      <c r="K10" s="21">
        <f t="shared" si="1"/>
        <v>5</v>
      </c>
      <c r="L10" s="39" t="s">
        <v>14</v>
      </c>
      <c r="M10" s="22">
        <v>0.32</v>
      </c>
      <c r="N10" s="61">
        <f t="shared" si="2"/>
        <v>0.32</v>
      </c>
      <c r="O10" s="97">
        <v>0.32</v>
      </c>
      <c r="P10" s="91">
        <f t="shared" si="0"/>
        <v>1.6</v>
      </c>
      <c r="Q10" s="7"/>
    </row>
    <row r="11" spans="1:17" ht="15.75" thickBot="1" x14ac:dyDescent="0.3">
      <c r="A11" s="126">
        <v>9</v>
      </c>
      <c r="B11" s="147"/>
      <c r="C11" s="113" t="s">
        <v>32</v>
      </c>
      <c r="D11" s="18" t="s">
        <v>72</v>
      </c>
      <c r="E11" s="18" t="s">
        <v>108</v>
      </c>
      <c r="F11" s="56" t="s">
        <v>141</v>
      </c>
      <c r="G11" s="18" t="s">
        <v>190</v>
      </c>
      <c r="H11" s="19" t="s">
        <v>236</v>
      </c>
      <c r="I11" s="18" t="s">
        <v>171</v>
      </c>
      <c r="J11" s="20">
        <v>1</v>
      </c>
      <c r="K11" s="21">
        <f t="shared" si="1"/>
        <v>5</v>
      </c>
      <c r="L11" s="39" t="s">
        <v>14</v>
      </c>
      <c r="M11" s="24">
        <v>0.32</v>
      </c>
      <c r="N11" s="61">
        <f t="shared" si="2"/>
        <v>0.32</v>
      </c>
      <c r="O11" s="98">
        <v>0.32</v>
      </c>
      <c r="P11" s="91">
        <f t="shared" si="0"/>
        <v>1.6</v>
      </c>
      <c r="Q11" s="7"/>
    </row>
    <row r="12" spans="1:17" ht="15.75" thickBot="1" x14ac:dyDescent="0.3">
      <c r="A12" s="126">
        <v>10</v>
      </c>
      <c r="B12" s="147"/>
      <c r="C12" s="113" t="s">
        <v>33</v>
      </c>
      <c r="D12" s="18" t="s">
        <v>73</v>
      </c>
      <c r="E12" s="18" t="s">
        <v>106</v>
      </c>
      <c r="F12" s="56" t="s">
        <v>142</v>
      </c>
      <c r="G12" s="18" t="s">
        <v>193</v>
      </c>
      <c r="H12" s="19" t="s">
        <v>236</v>
      </c>
      <c r="I12" s="18" t="s">
        <v>172</v>
      </c>
      <c r="J12" s="20">
        <v>1</v>
      </c>
      <c r="K12" s="21">
        <f t="shared" si="1"/>
        <v>5</v>
      </c>
      <c r="L12" s="39" t="s">
        <v>14</v>
      </c>
      <c r="M12" s="26">
        <v>0.1</v>
      </c>
      <c r="N12" s="61">
        <f t="shared" si="2"/>
        <v>0.1</v>
      </c>
      <c r="O12" s="97">
        <v>0.1</v>
      </c>
      <c r="P12" s="91">
        <f t="shared" si="0"/>
        <v>0.5</v>
      </c>
      <c r="Q12" s="7"/>
    </row>
    <row r="13" spans="1:17" ht="15.75" thickBot="1" x14ac:dyDescent="0.3">
      <c r="A13" s="126">
        <v>11</v>
      </c>
      <c r="B13" s="147"/>
      <c r="C13" s="113" t="s">
        <v>34</v>
      </c>
      <c r="D13" s="18" t="s">
        <v>74</v>
      </c>
      <c r="E13" s="18" t="s">
        <v>110</v>
      </c>
      <c r="F13" s="56" t="s">
        <v>143</v>
      </c>
      <c r="G13" s="18" t="s">
        <v>194</v>
      </c>
      <c r="H13" s="19" t="s">
        <v>236</v>
      </c>
      <c r="I13" s="18" t="s">
        <v>173</v>
      </c>
      <c r="J13" s="20">
        <v>2</v>
      </c>
      <c r="K13" s="21">
        <f t="shared" si="1"/>
        <v>10</v>
      </c>
      <c r="L13" s="39" t="s">
        <v>14</v>
      </c>
      <c r="M13" s="22">
        <v>0.47</v>
      </c>
      <c r="N13" s="61">
        <f t="shared" si="2"/>
        <v>0.94</v>
      </c>
      <c r="O13" s="97">
        <v>0.33100000000000002</v>
      </c>
      <c r="P13" s="91">
        <f t="shared" si="0"/>
        <v>3.31</v>
      </c>
      <c r="Q13" s="7"/>
    </row>
    <row r="14" spans="1:17" ht="15.75" thickBot="1" x14ac:dyDescent="0.3">
      <c r="A14" s="126">
        <v>12</v>
      </c>
      <c r="B14" s="147"/>
      <c r="C14" s="114" t="s">
        <v>35</v>
      </c>
      <c r="D14" s="42" t="s">
        <v>75</v>
      </c>
      <c r="E14" s="42" t="s">
        <v>107</v>
      </c>
      <c r="F14" s="73" t="s">
        <v>144</v>
      </c>
      <c r="G14" s="42" t="s">
        <v>195</v>
      </c>
      <c r="H14" s="48" t="s">
        <v>236</v>
      </c>
      <c r="I14" s="42" t="s">
        <v>174</v>
      </c>
      <c r="J14" s="43">
        <v>1</v>
      </c>
      <c r="K14" s="45">
        <f t="shared" si="1"/>
        <v>5</v>
      </c>
      <c r="L14" s="46" t="s">
        <v>14</v>
      </c>
      <c r="M14" s="44">
        <v>0.1</v>
      </c>
      <c r="N14" s="74">
        <f t="shared" si="2"/>
        <v>0.1</v>
      </c>
      <c r="O14" s="100">
        <v>0.1</v>
      </c>
      <c r="P14" s="92">
        <f t="shared" si="0"/>
        <v>0.5</v>
      </c>
      <c r="Q14" s="47"/>
    </row>
    <row r="15" spans="1:17" ht="16.5" thickBot="1" x14ac:dyDescent="0.3">
      <c r="A15" s="126">
        <v>13</v>
      </c>
      <c r="B15" s="63" t="s">
        <v>221</v>
      </c>
      <c r="C15" s="115" t="s">
        <v>36</v>
      </c>
      <c r="D15" s="31" t="s">
        <v>76</v>
      </c>
      <c r="E15" s="31" t="s">
        <v>111</v>
      </c>
      <c r="F15" s="58" t="s">
        <v>222</v>
      </c>
      <c r="G15" s="31" t="s">
        <v>196</v>
      </c>
      <c r="H15" s="75" t="s">
        <v>236</v>
      </c>
      <c r="I15" s="31" t="s">
        <v>236</v>
      </c>
      <c r="J15" s="32">
        <v>2</v>
      </c>
      <c r="K15" s="33">
        <f t="shared" si="1"/>
        <v>10</v>
      </c>
      <c r="L15" s="41" t="s">
        <v>14</v>
      </c>
      <c r="M15" s="34">
        <v>0.53</v>
      </c>
      <c r="N15" s="51">
        <f t="shared" si="2"/>
        <v>1.06</v>
      </c>
      <c r="O15" s="101">
        <v>0.45400000000000001</v>
      </c>
      <c r="P15" s="93">
        <f t="shared" si="0"/>
        <v>4.54</v>
      </c>
      <c r="Q15" s="10"/>
    </row>
    <row r="16" spans="1:17" s="50" customFormat="1" ht="15.75" thickBot="1" x14ac:dyDescent="0.3">
      <c r="A16" s="126">
        <v>14</v>
      </c>
      <c r="B16" s="144" t="s">
        <v>215</v>
      </c>
      <c r="C16" s="122" t="s">
        <v>41</v>
      </c>
      <c r="D16" s="54" t="s">
        <v>82</v>
      </c>
      <c r="E16" s="54" t="s">
        <v>230</v>
      </c>
      <c r="F16" s="123" t="s">
        <v>117</v>
      </c>
      <c r="G16" s="54" t="s">
        <v>200</v>
      </c>
      <c r="H16" s="13" t="s">
        <v>236</v>
      </c>
      <c r="I16" s="54" t="s">
        <v>175</v>
      </c>
      <c r="J16" s="35">
        <v>1</v>
      </c>
      <c r="K16" s="15">
        <f t="shared" si="1"/>
        <v>5</v>
      </c>
      <c r="L16" s="38" t="s">
        <v>14</v>
      </c>
      <c r="M16" s="16">
        <v>0.55000000000000004</v>
      </c>
      <c r="N16" s="17">
        <f t="shared" si="2"/>
        <v>0.55000000000000004</v>
      </c>
      <c r="O16" s="102">
        <v>0.55000000000000004</v>
      </c>
      <c r="P16" s="90">
        <f t="shared" si="0"/>
        <v>2.75</v>
      </c>
      <c r="Q16" s="6"/>
    </row>
    <row r="17" spans="1:17" ht="15.75" thickBot="1" x14ac:dyDescent="0.3">
      <c r="A17" s="126">
        <v>15</v>
      </c>
      <c r="B17" s="145"/>
      <c r="C17" s="113" t="s">
        <v>42</v>
      </c>
      <c r="D17" s="18" t="s">
        <v>83</v>
      </c>
      <c r="E17" s="18" t="s">
        <v>230</v>
      </c>
      <c r="F17" s="56" t="s">
        <v>118</v>
      </c>
      <c r="G17" s="18" t="s">
        <v>200</v>
      </c>
      <c r="H17" s="19" t="s">
        <v>236</v>
      </c>
      <c r="I17" s="18" t="s">
        <v>176</v>
      </c>
      <c r="J17" s="20">
        <v>1</v>
      </c>
      <c r="K17" s="21">
        <f t="shared" si="1"/>
        <v>5</v>
      </c>
      <c r="L17" s="39" t="s">
        <v>14</v>
      </c>
      <c r="M17" s="22">
        <v>0.92</v>
      </c>
      <c r="N17" s="61">
        <f t="shared" si="2"/>
        <v>0.92</v>
      </c>
      <c r="O17" s="97">
        <v>0.92</v>
      </c>
      <c r="P17" s="91">
        <f t="shared" si="0"/>
        <v>4.6000000000000005</v>
      </c>
      <c r="Q17" s="8"/>
    </row>
    <row r="18" spans="1:17" ht="19.5" customHeight="1" thickBot="1" x14ac:dyDescent="0.3">
      <c r="A18" s="126">
        <v>16</v>
      </c>
      <c r="B18" s="146"/>
      <c r="C18" s="116" t="s">
        <v>43</v>
      </c>
      <c r="D18" s="27" t="s">
        <v>84</v>
      </c>
      <c r="E18" s="27" t="s">
        <v>119</v>
      </c>
      <c r="F18" s="57" t="s">
        <v>145</v>
      </c>
      <c r="G18" s="27" t="s">
        <v>192</v>
      </c>
      <c r="H18" s="52" t="s">
        <v>236</v>
      </c>
      <c r="I18" s="27" t="s">
        <v>177</v>
      </c>
      <c r="J18" s="28">
        <v>1</v>
      </c>
      <c r="K18" s="29">
        <f t="shared" si="1"/>
        <v>5</v>
      </c>
      <c r="L18" s="40" t="s">
        <v>14</v>
      </c>
      <c r="M18" s="30">
        <v>0.38</v>
      </c>
      <c r="N18" s="72">
        <f t="shared" si="2"/>
        <v>0.38</v>
      </c>
      <c r="O18" s="103">
        <v>0.38</v>
      </c>
      <c r="P18" s="94">
        <f t="shared" si="0"/>
        <v>1.9</v>
      </c>
      <c r="Q18" s="9"/>
    </row>
    <row r="19" spans="1:17" ht="16.5" thickBot="1" x14ac:dyDescent="0.3">
      <c r="A19" s="126">
        <v>17</v>
      </c>
      <c r="B19" s="63" t="s">
        <v>19</v>
      </c>
      <c r="C19" s="115" t="s">
        <v>44</v>
      </c>
      <c r="D19" s="31" t="s">
        <v>85</v>
      </c>
      <c r="E19" s="31" t="s">
        <v>120</v>
      </c>
      <c r="F19" s="58" t="s">
        <v>146</v>
      </c>
      <c r="G19" s="31" t="s">
        <v>201</v>
      </c>
      <c r="H19" s="53" t="s">
        <v>236</v>
      </c>
      <c r="I19" s="31" t="s">
        <v>240</v>
      </c>
      <c r="J19" s="32">
        <v>1</v>
      </c>
      <c r="K19" s="33">
        <f t="shared" si="1"/>
        <v>5</v>
      </c>
      <c r="L19" s="41" t="s">
        <v>14</v>
      </c>
      <c r="M19" s="34">
        <v>0.34</v>
      </c>
      <c r="N19" s="51">
        <f t="shared" si="2"/>
        <v>0.34</v>
      </c>
      <c r="O19" s="101">
        <v>0.34</v>
      </c>
      <c r="P19" s="93">
        <f t="shared" si="0"/>
        <v>1.7000000000000002</v>
      </c>
      <c r="Q19" s="10"/>
    </row>
    <row r="20" spans="1:17" ht="16.5" thickBot="1" x14ac:dyDescent="0.3">
      <c r="A20" s="126">
        <v>18</v>
      </c>
      <c r="B20" s="63" t="s">
        <v>216</v>
      </c>
      <c r="C20" s="115" t="s">
        <v>45</v>
      </c>
      <c r="D20" s="31" t="s">
        <v>86</v>
      </c>
      <c r="E20" s="31" t="s">
        <v>121</v>
      </c>
      <c r="F20" s="58" t="s">
        <v>147</v>
      </c>
      <c r="G20" s="31" t="s">
        <v>202</v>
      </c>
      <c r="H20" s="53" t="s">
        <v>236</v>
      </c>
      <c r="I20" s="31" t="s">
        <v>240</v>
      </c>
      <c r="J20" s="32">
        <v>1</v>
      </c>
      <c r="K20" s="33">
        <f t="shared" si="1"/>
        <v>5</v>
      </c>
      <c r="L20" s="41" t="s">
        <v>14</v>
      </c>
      <c r="M20" s="34">
        <v>0.41</v>
      </c>
      <c r="N20" s="51">
        <f t="shared" si="2"/>
        <v>0.41</v>
      </c>
      <c r="O20" s="101">
        <v>0.41</v>
      </c>
      <c r="P20" s="93">
        <f t="shared" si="0"/>
        <v>2.0499999999999998</v>
      </c>
      <c r="Q20" s="10"/>
    </row>
    <row r="21" spans="1:17" ht="15.75" customHeight="1" thickBot="1" x14ac:dyDescent="0.3">
      <c r="A21" s="126">
        <v>19</v>
      </c>
      <c r="B21" s="144" t="s">
        <v>217</v>
      </c>
      <c r="C21" s="111" t="s">
        <v>46</v>
      </c>
      <c r="D21" s="12" t="s">
        <v>87</v>
      </c>
      <c r="E21" s="12" t="s">
        <v>122</v>
      </c>
      <c r="F21" s="55" t="s">
        <v>148</v>
      </c>
      <c r="G21" s="12" t="s">
        <v>203</v>
      </c>
      <c r="H21" s="54" t="s">
        <v>236</v>
      </c>
      <c r="I21" s="12" t="s">
        <v>178</v>
      </c>
      <c r="J21" s="14">
        <v>2</v>
      </c>
      <c r="K21" s="15">
        <f t="shared" si="1"/>
        <v>10</v>
      </c>
      <c r="L21" s="38" t="s">
        <v>14</v>
      </c>
      <c r="M21" s="36">
        <v>0.1</v>
      </c>
      <c r="N21" s="17">
        <f t="shared" si="2"/>
        <v>0.2</v>
      </c>
      <c r="O21" s="104">
        <v>2.5999999999999999E-2</v>
      </c>
      <c r="P21" s="90">
        <f t="shared" si="0"/>
        <v>0.26</v>
      </c>
      <c r="Q21" s="6"/>
    </row>
    <row r="22" spans="1:17" ht="15.75" customHeight="1" thickBot="1" x14ac:dyDescent="0.3">
      <c r="A22" s="126">
        <v>20</v>
      </c>
      <c r="B22" s="147"/>
      <c r="C22" s="128" t="s">
        <v>249</v>
      </c>
      <c r="D22" s="135" t="s">
        <v>88</v>
      </c>
      <c r="E22" s="135" t="s">
        <v>122</v>
      </c>
      <c r="F22" s="18" t="s">
        <v>251</v>
      </c>
      <c r="G22" s="18" t="s">
        <v>193</v>
      </c>
      <c r="H22" s="54" t="s">
        <v>236</v>
      </c>
      <c r="I22" s="135" t="s">
        <v>254</v>
      </c>
      <c r="J22" s="136">
        <v>1</v>
      </c>
      <c r="K22" s="15">
        <f t="shared" si="1"/>
        <v>5</v>
      </c>
      <c r="L22" s="134" t="s">
        <v>14</v>
      </c>
      <c r="M22" s="131">
        <v>0.1</v>
      </c>
      <c r="N22" s="17">
        <f t="shared" si="2"/>
        <v>0.1</v>
      </c>
      <c r="O22" s="132">
        <v>0.1</v>
      </c>
      <c r="P22" s="90">
        <f t="shared" si="0"/>
        <v>0.5</v>
      </c>
      <c r="Q22" s="133"/>
    </row>
    <row r="23" spans="1:17" ht="15.75" customHeight="1" thickBot="1" x14ac:dyDescent="0.3">
      <c r="A23" s="126">
        <v>21</v>
      </c>
      <c r="B23" s="147"/>
      <c r="C23" s="128" t="s">
        <v>250</v>
      </c>
      <c r="D23" s="135" t="s">
        <v>20</v>
      </c>
      <c r="E23" s="135" t="s">
        <v>122</v>
      </c>
      <c r="F23" s="18" t="s">
        <v>252</v>
      </c>
      <c r="G23" s="18" t="s">
        <v>253</v>
      </c>
      <c r="H23" s="130" t="s">
        <v>256</v>
      </c>
      <c r="I23" s="135" t="s">
        <v>255</v>
      </c>
      <c r="J23" s="136">
        <v>1</v>
      </c>
      <c r="K23" s="15">
        <f t="shared" si="1"/>
        <v>5</v>
      </c>
      <c r="L23" s="134" t="s">
        <v>14</v>
      </c>
      <c r="M23" s="131">
        <v>0.1</v>
      </c>
      <c r="N23" s="17">
        <f t="shared" si="2"/>
        <v>0.1</v>
      </c>
      <c r="O23" s="132">
        <v>0.1</v>
      </c>
      <c r="P23" s="90">
        <f t="shared" si="0"/>
        <v>0.5</v>
      </c>
      <c r="Q23" s="133"/>
    </row>
    <row r="24" spans="1:17" ht="15.75" customHeight="1" thickBot="1" x14ac:dyDescent="0.3">
      <c r="A24" s="126">
        <v>22</v>
      </c>
      <c r="B24" s="147"/>
      <c r="C24" s="113" t="s">
        <v>47</v>
      </c>
      <c r="D24" s="18" t="s">
        <v>89</v>
      </c>
      <c r="E24" s="18" t="s">
        <v>122</v>
      </c>
      <c r="F24" s="56" t="s">
        <v>149</v>
      </c>
      <c r="G24" s="18" t="s">
        <v>193</v>
      </c>
      <c r="H24" s="49" t="s">
        <v>236</v>
      </c>
      <c r="I24" s="18" t="s">
        <v>179</v>
      </c>
      <c r="J24" s="20">
        <v>1</v>
      </c>
      <c r="K24" s="21">
        <f t="shared" si="1"/>
        <v>5</v>
      </c>
      <c r="L24" s="39" t="s">
        <v>14</v>
      </c>
      <c r="M24" s="22">
        <v>0.1</v>
      </c>
      <c r="N24" s="61">
        <f t="shared" si="2"/>
        <v>0.1</v>
      </c>
      <c r="O24" s="97">
        <v>0.1</v>
      </c>
      <c r="P24" s="91">
        <f t="shared" si="0"/>
        <v>0.5</v>
      </c>
      <c r="Q24" s="8"/>
    </row>
    <row r="25" spans="1:17" ht="15.75" customHeight="1" thickBot="1" x14ac:dyDescent="0.3">
      <c r="A25" s="126">
        <v>23</v>
      </c>
      <c r="B25" s="147"/>
      <c r="C25" s="113" t="s">
        <v>48</v>
      </c>
      <c r="D25" s="18" t="s">
        <v>21</v>
      </c>
      <c r="E25" s="18" t="s">
        <v>122</v>
      </c>
      <c r="F25" s="56" t="s">
        <v>150</v>
      </c>
      <c r="G25" s="18" t="s">
        <v>193</v>
      </c>
      <c r="H25" s="49" t="s">
        <v>236</v>
      </c>
      <c r="I25" s="18" t="s">
        <v>180</v>
      </c>
      <c r="J25" s="20">
        <v>1</v>
      </c>
      <c r="K25" s="21">
        <f t="shared" si="1"/>
        <v>5</v>
      </c>
      <c r="L25" s="39" t="s">
        <v>14</v>
      </c>
      <c r="M25" s="22">
        <v>0.1</v>
      </c>
      <c r="N25" s="61">
        <f t="shared" si="2"/>
        <v>0.1</v>
      </c>
      <c r="O25" s="97">
        <v>0.1</v>
      </c>
      <c r="P25" s="91">
        <f>O25*K25</f>
        <v>0.5</v>
      </c>
      <c r="Q25" s="8"/>
    </row>
    <row r="26" spans="1:17" ht="15.75" customHeight="1" thickBot="1" x14ac:dyDescent="0.3">
      <c r="A26" s="126">
        <v>24</v>
      </c>
      <c r="B26" s="147"/>
      <c r="C26" s="113" t="s">
        <v>50</v>
      </c>
      <c r="D26" s="18" t="s">
        <v>90</v>
      </c>
      <c r="E26" s="18" t="s">
        <v>123</v>
      </c>
      <c r="F26" s="56" t="s">
        <v>152</v>
      </c>
      <c r="G26" s="18" t="s">
        <v>204</v>
      </c>
      <c r="H26" s="49" t="s">
        <v>236</v>
      </c>
      <c r="I26" s="18" t="s">
        <v>231</v>
      </c>
      <c r="J26" s="20">
        <v>2</v>
      </c>
      <c r="K26" s="21">
        <f t="shared" si="1"/>
        <v>10</v>
      </c>
      <c r="L26" s="39" t="s">
        <v>14</v>
      </c>
      <c r="M26" s="22">
        <v>0.12</v>
      </c>
      <c r="N26" s="61">
        <f t="shared" si="2"/>
        <v>0.24</v>
      </c>
      <c r="O26" s="97">
        <v>0.10199999999999999</v>
      </c>
      <c r="P26" s="91">
        <f t="shared" si="0"/>
        <v>1.02</v>
      </c>
      <c r="Q26" s="8"/>
    </row>
    <row r="27" spans="1:17" ht="15.75" customHeight="1" thickBot="1" x14ac:dyDescent="0.3">
      <c r="A27" s="126">
        <v>25</v>
      </c>
      <c r="B27" s="147"/>
      <c r="C27" s="113" t="s">
        <v>51</v>
      </c>
      <c r="D27" s="18" t="s">
        <v>91</v>
      </c>
      <c r="E27" s="18" t="s">
        <v>122</v>
      </c>
      <c r="F27" s="56" t="s">
        <v>153</v>
      </c>
      <c r="G27" s="18" t="s">
        <v>193</v>
      </c>
      <c r="H27" s="49" t="s">
        <v>236</v>
      </c>
      <c r="I27" s="18" t="s">
        <v>181</v>
      </c>
      <c r="J27" s="20">
        <v>2</v>
      </c>
      <c r="K27" s="21">
        <f t="shared" si="1"/>
        <v>10</v>
      </c>
      <c r="L27" s="39" t="s">
        <v>14</v>
      </c>
      <c r="M27" s="22">
        <v>0.1</v>
      </c>
      <c r="N27" s="61">
        <f t="shared" si="2"/>
        <v>0.2</v>
      </c>
      <c r="O27" s="97">
        <v>0.04</v>
      </c>
      <c r="P27" s="91">
        <f t="shared" si="0"/>
        <v>0.4</v>
      </c>
      <c r="Q27" s="8"/>
    </row>
    <row r="28" spans="1:17" ht="15.75" customHeight="1" thickBot="1" x14ac:dyDescent="0.3">
      <c r="A28" s="126">
        <v>26</v>
      </c>
      <c r="B28" s="147"/>
      <c r="C28" s="113" t="s">
        <v>52</v>
      </c>
      <c r="D28" s="18" t="s">
        <v>92</v>
      </c>
      <c r="E28" s="18" t="s">
        <v>122</v>
      </c>
      <c r="F28" s="56" t="s">
        <v>154</v>
      </c>
      <c r="G28" s="18" t="s">
        <v>193</v>
      </c>
      <c r="H28" s="49" t="s">
        <v>236</v>
      </c>
      <c r="I28" s="18" t="s">
        <v>182</v>
      </c>
      <c r="J28" s="20">
        <v>1</v>
      </c>
      <c r="K28" s="21">
        <f t="shared" si="1"/>
        <v>5</v>
      </c>
      <c r="L28" s="39" t="s">
        <v>14</v>
      </c>
      <c r="M28" s="22">
        <v>0.1</v>
      </c>
      <c r="N28" s="61">
        <f t="shared" si="2"/>
        <v>0.1</v>
      </c>
      <c r="O28" s="97">
        <v>0.1</v>
      </c>
      <c r="P28" s="91">
        <f t="shared" si="0"/>
        <v>0.5</v>
      </c>
      <c r="Q28" s="8"/>
    </row>
    <row r="29" spans="1:17" ht="15.75" customHeight="1" thickBot="1" x14ac:dyDescent="0.3">
      <c r="A29" s="126">
        <v>27</v>
      </c>
      <c r="B29" s="147"/>
      <c r="C29" s="113" t="s">
        <v>53</v>
      </c>
      <c r="D29" s="18" t="s">
        <v>93</v>
      </c>
      <c r="E29" s="18" t="s">
        <v>122</v>
      </c>
      <c r="F29" s="56" t="s">
        <v>155</v>
      </c>
      <c r="G29" s="18" t="s">
        <v>193</v>
      </c>
      <c r="H29" s="49" t="s">
        <v>236</v>
      </c>
      <c r="I29" s="18" t="s">
        <v>183</v>
      </c>
      <c r="J29" s="20">
        <v>3</v>
      </c>
      <c r="K29" s="21">
        <f t="shared" si="1"/>
        <v>15</v>
      </c>
      <c r="L29" s="39" t="s">
        <v>14</v>
      </c>
      <c r="M29" s="22">
        <v>0.13</v>
      </c>
      <c r="N29" s="61">
        <f t="shared" si="2"/>
        <v>0.39</v>
      </c>
      <c r="O29" s="97">
        <v>0.113</v>
      </c>
      <c r="P29" s="91">
        <f t="shared" si="0"/>
        <v>1.6950000000000001</v>
      </c>
      <c r="Q29" s="8"/>
    </row>
    <row r="30" spans="1:17" ht="15.75" customHeight="1" thickBot="1" x14ac:dyDescent="0.3">
      <c r="A30" s="126">
        <v>28</v>
      </c>
      <c r="B30" s="147"/>
      <c r="C30" s="113" t="s">
        <v>54</v>
      </c>
      <c r="D30" s="18" t="s">
        <v>94</v>
      </c>
      <c r="E30" s="18" t="s">
        <v>123</v>
      </c>
      <c r="F30" s="59" t="s">
        <v>156</v>
      </c>
      <c r="G30" s="59" t="s">
        <v>205</v>
      </c>
      <c r="H30" s="59" t="s">
        <v>223</v>
      </c>
      <c r="I30" s="59" t="s">
        <v>184</v>
      </c>
      <c r="J30" s="60">
        <v>1</v>
      </c>
      <c r="K30" s="21">
        <f t="shared" si="1"/>
        <v>5</v>
      </c>
      <c r="L30" s="11" t="s">
        <v>238</v>
      </c>
      <c r="M30" s="22">
        <v>0.1</v>
      </c>
      <c r="N30" s="61">
        <f t="shared" si="2"/>
        <v>0.1</v>
      </c>
      <c r="O30" s="97">
        <v>0.1</v>
      </c>
      <c r="P30" s="91">
        <f t="shared" si="0"/>
        <v>0.5</v>
      </c>
      <c r="Q30" s="106" t="s">
        <v>224</v>
      </c>
    </row>
    <row r="31" spans="1:17" ht="15.75" customHeight="1" thickBot="1" x14ac:dyDescent="0.3">
      <c r="A31" s="126">
        <v>29</v>
      </c>
      <c r="B31" s="147"/>
      <c r="C31" s="129" t="s">
        <v>257</v>
      </c>
      <c r="D31" s="18" t="s">
        <v>258</v>
      </c>
      <c r="E31" s="18" t="s">
        <v>259</v>
      </c>
      <c r="F31" s="18" t="s">
        <v>260</v>
      </c>
      <c r="G31" s="18" t="s">
        <v>261</v>
      </c>
      <c r="H31" s="59" t="s">
        <v>262</v>
      </c>
      <c r="I31" s="59" t="s">
        <v>263</v>
      </c>
      <c r="J31" s="60">
        <v>2</v>
      </c>
      <c r="K31" s="21">
        <f t="shared" si="1"/>
        <v>10</v>
      </c>
      <c r="L31" s="11" t="s">
        <v>264</v>
      </c>
      <c r="M31" s="22">
        <v>0.76</v>
      </c>
      <c r="N31" s="61">
        <f t="shared" si="2"/>
        <v>1.52</v>
      </c>
      <c r="O31" s="97">
        <v>0.54500000000000004</v>
      </c>
      <c r="P31" s="91">
        <f t="shared" si="0"/>
        <v>5.45</v>
      </c>
      <c r="Q31" s="106"/>
    </row>
    <row r="32" spans="1:17" ht="15.75" customHeight="1" thickBot="1" x14ac:dyDescent="0.3">
      <c r="A32" s="126">
        <v>30</v>
      </c>
      <c r="B32" s="147"/>
      <c r="C32" s="113" t="s">
        <v>49</v>
      </c>
      <c r="D32" s="18" t="s">
        <v>237</v>
      </c>
      <c r="E32" s="18" t="s">
        <v>122</v>
      </c>
      <c r="F32" s="18" t="s">
        <v>151</v>
      </c>
      <c r="G32" s="18" t="s">
        <v>193</v>
      </c>
      <c r="H32" s="18" t="s">
        <v>236</v>
      </c>
      <c r="I32" s="18" t="s">
        <v>24</v>
      </c>
      <c r="J32" s="20">
        <v>5</v>
      </c>
      <c r="K32" s="21">
        <f t="shared" si="1"/>
        <v>25</v>
      </c>
      <c r="L32" s="39" t="s">
        <v>14</v>
      </c>
      <c r="M32" s="22">
        <v>0.1</v>
      </c>
      <c r="N32" s="61">
        <f t="shared" si="2"/>
        <v>0.5</v>
      </c>
      <c r="O32" s="97">
        <v>2.8000000000000001E-2</v>
      </c>
      <c r="P32" s="91">
        <f t="shared" si="0"/>
        <v>0.70000000000000007</v>
      </c>
      <c r="Q32" s="8"/>
    </row>
    <row r="33" spans="1:17" ht="15.75" customHeight="1" thickBot="1" x14ac:dyDescent="0.3">
      <c r="A33" s="126">
        <v>31</v>
      </c>
      <c r="B33" s="147"/>
      <c r="C33" s="113" t="s">
        <v>55</v>
      </c>
      <c r="D33" s="18" t="s">
        <v>95</v>
      </c>
      <c r="E33" s="18" t="s">
        <v>122</v>
      </c>
      <c r="F33" s="56" t="s">
        <v>157</v>
      </c>
      <c r="G33" s="18" t="s">
        <v>193</v>
      </c>
      <c r="H33" s="49" t="s">
        <v>236</v>
      </c>
      <c r="I33" s="18" t="s">
        <v>185</v>
      </c>
      <c r="J33" s="20">
        <v>1</v>
      </c>
      <c r="K33" s="21">
        <f t="shared" si="1"/>
        <v>5</v>
      </c>
      <c r="L33" s="39" t="s">
        <v>14</v>
      </c>
      <c r="M33" s="22">
        <v>0.1</v>
      </c>
      <c r="N33" s="61">
        <f t="shared" si="2"/>
        <v>0.1</v>
      </c>
      <c r="O33" s="97">
        <v>0.1</v>
      </c>
      <c r="P33" s="91">
        <f t="shared" si="0"/>
        <v>0.5</v>
      </c>
      <c r="Q33" s="8"/>
    </row>
    <row r="34" spans="1:17" ht="15.75" customHeight="1" thickBot="1" x14ac:dyDescent="0.3">
      <c r="A34" s="126">
        <v>32</v>
      </c>
      <c r="B34" s="147"/>
      <c r="C34" s="113" t="s">
        <v>56</v>
      </c>
      <c r="D34" s="18" t="s">
        <v>96</v>
      </c>
      <c r="E34" s="18" t="s">
        <v>124</v>
      </c>
      <c r="F34" s="56" t="s">
        <v>158</v>
      </c>
      <c r="G34" s="18" t="s">
        <v>192</v>
      </c>
      <c r="H34" s="37" t="s">
        <v>226</v>
      </c>
      <c r="I34" s="18" t="s">
        <v>186</v>
      </c>
      <c r="J34" s="20">
        <v>1</v>
      </c>
      <c r="K34" s="21">
        <f t="shared" si="1"/>
        <v>5</v>
      </c>
      <c r="L34" s="39" t="s">
        <v>22</v>
      </c>
      <c r="M34" s="22">
        <v>0.20100000000000001</v>
      </c>
      <c r="N34" s="61">
        <f t="shared" si="2"/>
        <v>0.20100000000000001</v>
      </c>
      <c r="O34" s="97">
        <v>0.20100000000000001</v>
      </c>
      <c r="P34" s="91">
        <f t="shared" si="0"/>
        <v>1.0050000000000001</v>
      </c>
      <c r="Q34" s="8"/>
    </row>
    <row r="35" spans="1:17" ht="15.75" customHeight="1" thickBot="1" x14ac:dyDescent="0.3">
      <c r="A35" s="126">
        <v>33</v>
      </c>
      <c r="B35" s="147"/>
      <c r="C35" s="113" t="s">
        <v>57</v>
      </c>
      <c r="D35" s="18" t="s">
        <v>97</v>
      </c>
      <c r="E35" s="18" t="s">
        <v>122</v>
      </c>
      <c r="F35" s="56" t="s">
        <v>159</v>
      </c>
      <c r="G35" s="18" t="s">
        <v>203</v>
      </c>
      <c r="H35" s="49" t="s">
        <v>236</v>
      </c>
      <c r="I35" s="18" t="s">
        <v>187</v>
      </c>
      <c r="J35" s="20">
        <v>1</v>
      </c>
      <c r="K35" s="21">
        <f t="shared" si="1"/>
        <v>5</v>
      </c>
      <c r="L35" s="39" t="s">
        <v>14</v>
      </c>
      <c r="M35" s="22">
        <v>0.1</v>
      </c>
      <c r="N35" s="61">
        <f t="shared" si="2"/>
        <v>0.1</v>
      </c>
      <c r="O35" s="97">
        <v>0.1</v>
      </c>
      <c r="P35" s="91">
        <f t="shared" si="0"/>
        <v>0.5</v>
      </c>
      <c r="Q35" s="8"/>
    </row>
    <row r="36" spans="1:17" ht="15.75" customHeight="1" thickBot="1" x14ac:dyDescent="0.3">
      <c r="A36" s="126">
        <v>34</v>
      </c>
      <c r="B36" s="151"/>
      <c r="C36" s="116" t="s">
        <v>58</v>
      </c>
      <c r="D36" s="27" t="s">
        <v>98</v>
      </c>
      <c r="E36" s="27" t="s">
        <v>122</v>
      </c>
      <c r="F36" s="57" t="s">
        <v>160</v>
      </c>
      <c r="G36" s="27" t="s">
        <v>203</v>
      </c>
      <c r="H36" s="52" t="s">
        <v>236</v>
      </c>
      <c r="I36" s="27" t="s">
        <v>188</v>
      </c>
      <c r="J36" s="28">
        <v>1</v>
      </c>
      <c r="K36" s="29">
        <f t="shared" si="1"/>
        <v>5</v>
      </c>
      <c r="L36" s="40" t="s">
        <v>14</v>
      </c>
      <c r="M36" s="30">
        <v>0.1</v>
      </c>
      <c r="N36" s="72">
        <f t="shared" si="2"/>
        <v>0.1</v>
      </c>
      <c r="O36" s="103">
        <v>0.1</v>
      </c>
      <c r="P36" s="94">
        <f t="shared" si="0"/>
        <v>0.5</v>
      </c>
      <c r="Q36" s="9"/>
    </row>
    <row r="37" spans="1:17" ht="16.5" thickBot="1" x14ac:dyDescent="0.3">
      <c r="A37" s="126">
        <v>35</v>
      </c>
      <c r="B37" s="76" t="s">
        <v>218</v>
      </c>
      <c r="C37" s="117" t="s">
        <v>60</v>
      </c>
      <c r="D37" s="77" t="s">
        <v>100</v>
      </c>
      <c r="E37" s="77" t="s">
        <v>230</v>
      </c>
      <c r="F37" s="78" t="s">
        <v>126</v>
      </c>
      <c r="G37" s="77" t="s">
        <v>195</v>
      </c>
      <c r="H37" s="79" t="s">
        <v>236</v>
      </c>
      <c r="I37" s="77" t="s">
        <v>231</v>
      </c>
      <c r="J37" s="80">
        <v>1</v>
      </c>
      <c r="K37" s="81">
        <f t="shared" si="1"/>
        <v>5</v>
      </c>
      <c r="L37" s="82" t="s">
        <v>14</v>
      </c>
      <c r="M37" s="83">
        <v>0.55000000000000004</v>
      </c>
      <c r="N37" s="84">
        <f t="shared" si="2"/>
        <v>0.55000000000000004</v>
      </c>
      <c r="O37" s="105">
        <v>0.55000000000000004</v>
      </c>
      <c r="P37" s="95">
        <f t="shared" si="0"/>
        <v>2.75</v>
      </c>
      <c r="Q37" s="110"/>
    </row>
    <row r="38" spans="1:17" ht="15.75" thickBot="1" x14ac:dyDescent="0.3">
      <c r="A38" s="126">
        <v>36</v>
      </c>
      <c r="B38" s="144" t="s">
        <v>219</v>
      </c>
      <c r="C38" s="111" t="s">
        <v>61</v>
      </c>
      <c r="D38" s="12" t="s">
        <v>6</v>
      </c>
      <c r="E38" s="12" t="s">
        <v>234</v>
      </c>
      <c r="F38" s="55" t="s">
        <v>127</v>
      </c>
      <c r="G38" s="12" t="s">
        <v>206</v>
      </c>
      <c r="H38" s="54" t="s">
        <v>236</v>
      </c>
      <c r="I38" s="12" t="s">
        <v>231</v>
      </c>
      <c r="J38" s="14">
        <v>1</v>
      </c>
      <c r="K38" s="15">
        <f t="shared" si="1"/>
        <v>5</v>
      </c>
      <c r="L38" s="38" t="s">
        <v>14</v>
      </c>
      <c r="M38" s="36">
        <v>3.13</v>
      </c>
      <c r="N38" s="17">
        <f t="shared" si="2"/>
        <v>3.13</v>
      </c>
      <c r="O38" s="104">
        <v>3.13</v>
      </c>
      <c r="P38" s="90">
        <f t="shared" si="0"/>
        <v>15.649999999999999</v>
      </c>
      <c r="Q38" s="6"/>
    </row>
    <row r="39" spans="1:17" ht="15.75" thickBot="1" x14ac:dyDescent="0.3">
      <c r="A39" s="126">
        <v>37</v>
      </c>
      <c r="B39" s="147"/>
      <c r="C39" s="113" t="s">
        <v>62</v>
      </c>
      <c r="D39" s="18" t="s">
        <v>25</v>
      </c>
      <c r="E39" s="18" t="s">
        <v>233</v>
      </c>
      <c r="F39" s="56" t="s">
        <v>128</v>
      </c>
      <c r="G39" s="18" t="s">
        <v>206</v>
      </c>
      <c r="H39" s="49" t="s">
        <v>236</v>
      </c>
      <c r="I39" s="18" t="s">
        <v>231</v>
      </c>
      <c r="J39" s="20">
        <v>1</v>
      </c>
      <c r="K39" s="21">
        <f t="shared" si="1"/>
        <v>5</v>
      </c>
      <c r="L39" s="39" t="s">
        <v>14</v>
      </c>
      <c r="M39" s="22">
        <v>1.36</v>
      </c>
      <c r="N39" s="61">
        <f t="shared" si="2"/>
        <v>1.36</v>
      </c>
      <c r="O39" s="97">
        <v>1.36</v>
      </c>
      <c r="P39" s="91">
        <f t="shared" si="0"/>
        <v>6.8000000000000007</v>
      </c>
      <c r="Q39" s="8"/>
    </row>
    <row r="40" spans="1:17" s="50" customFormat="1" ht="15.75" thickBot="1" x14ac:dyDescent="0.3">
      <c r="A40" s="126">
        <v>38</v>
      </c>
      <c r="B40" s="147"/>
      <c r="C40" s="112" t="s">
        <v>63</v>
      </c>
      <c r="D40" s="49" t="s">
        <v>101</v>
      </c>
      <c r="E40" s="49" t="s">
        <v>232</v>
      </c>
      <c r="F40" s="23" t="s">
        <v>129</v>
      </c>
      <c r="G40" s="49" t="s">
        <v>207</v>
      </c>
      <c r="H40" s="49" t="s">
        <v>236</v>
      </c>
      <c r="I40" s="49" t="s">
        <v>231</v>
      </c>
      <c r="J40" s="37">
        <v>1</v>
      </c>
      <c r="K40" s="21">
        <f t="shared" si="1"/>
        <v>5</v>
      </c>
      <c r="L40" s="39" t="s">
        <v>14</v>
      </c>
      <c r="M40" s="22">
        <v>0.54</v>
      </c>
      <c r="N40" s="61">
        <f t="shared" si="2"/>
        <v>0.54</v>
      </c>
      <c r="O40" s="97">
        <v>0.54</v>
      </c>
      <c r="P40" s="91">
        <f t="shared" si="0"/>
        <v>2.7</v>
      </c>
      <c r="Q40" s="8"/>
    </row>
    <row r="41" spans="1:17" ht="15.75" thickBot="1" x14ac:dyDescent="0.3">
      <c r="A41" s="126">
        <v>39</v>
      </c>
      <c r="B41" s="147"/>
      <c r="C41" s="113" t="s">
        <v>64</v>
      </c>
      <c r="D41" s="18" t="s">
        <v>102</v>
      </c>
      <c r="E41" s="18" t="s">
        <v>130</v>
      </c>
      <c r="F41" s="56" t="s">
        <v>161</v>
      </c>
      <c r="G41" s="18" t="s">
        <v>208</v>
      </c>
      <c r="H41" s="49" t="s">
        <v>236</v>
      </c>
      <c r="I41" s="18" t="s">
        <v>231</v>
      </c>
      <c r="J41" s="20">
        <v>1</v>
      </c>
      <c r="K41" s="21">
        <f t="shared" si="1"/>
        <v>5</v>
      </c>
      <c r="L41" s="39" t="s">
        <v>14</v>
      </c>
      <c r="M41" s="22">
        <v>4.95</v>
      </c>
      <c r="N41" s="61">
        <f t="shared" si="2"/>
        <v>4.95</v>
      </c>
      <c r="O41" s="97">
        <v>4.95</v>
      </c>
      <c r="P41" s="91">
        <f t="shared" si="0"/>
        <v>24.75</v>
      </c>
      <c r="Q41" s="8"/>
    </row>
    <row r="42" spans="1:17" ht="15.75" thickBot="1" x14ac:dyDescent="0.3">
      <c r="A42" s="126">
        <v>40</v>
      </c>
      <c r="B42" s="147"/>
      <c r="C42" s="113" t="s">
        <v>65</v>
      </c>
      <c r="D42" s="18" t="s">
        <v>103</v>
      </c>
      <c r="E42" s="18" t="s">
        <v>131</v>
      </c>
      <c r="F42" s="56" t="s">
        <v>162</v>
      </c>
      <c r="G42" s="18" t="s">
        <v>209</v>
      </c>
      <c r="H42" s="49" t="s">
        <v>236</v>
      </c>
      <c r="I42" s="18" t="s">
        <v>231</v>
      </c>
      <c r="J42" s="20">
        <v>1</v>
      </c>
      <c r="K42" s="21">
        <f t="shared" si="1"/>
        <v>5</v>
      </c>
      <c r="L42" s="39" t="s">
        <v>14</v>
      </c>
      <c r="M42" s="22">
        <v>2.74</v>
      </c>
      <c r="N42" s="61">
        <f t="shared" si="2"/>
        <v>2.74</v>
      </c>
      <c r="O42" s="97">
        <v>2.74</v>
      </c>
      <c r="P42" s="91">
        <f t="shared" si="0"/>
        <v>13.700000000000001</v>
      </c>
      <c r="Q42" s="8"/>
    </row>
    <row r="43" spans="1:17" ht="15.75" thickBot="1" x14ac:dyDescent="0.3">
      <c r="A43" s="126">
        <v>41</v>
      </c>
      <c r="B43" s="147"/>
      <c r="C43" s="113" t="s">
        <v>239</v>
      </c>
      <c r="D43" s="18" t="s">
        <v>104</v>
      </c>
      <c r="E43" s="18" t="s">
        <v>132</v>
      </c>
      <c r="F43" s="56" t="s">
        <v>163</v>
      </c>
      <c r="G43" s="20" t="s">
        <v>235</v>
      </c>
      <c r="H43" s="49" t="s">
        <v>236</v>
      </c>
      <c r="I43" s="18" t="s">
        <v>231</v>
      </c>
      <c r="J43" s="20">
        <v>1</v>
      </c>
      <c r="K43" s="21">
        <f t="shared" si="1"/>
        <v>5</v>
      </c>
      <c r="L43" s="39" t="s">
        <v>225</v>
      </c>
      <c r="M43" s="22">
        <v>0.36699999999999999</v>
      </c>
      <c r="N43" s="61">
        <f t="shared" si="2"/>
        <v>0.36699999999999999</v>
      </c>
      <c r="O43" s="97">
        <v>0.36699999999999999</v>
      </c>
      <c r="P43" s="91">
        <v>7.34</v>
      </c>
      <c r="Q43" s="106" t="s">
        <v>227</v>
      </c>
    </row>
    <row r="44" spans="1:17" ht="16.5" thickBot="1" x14ac:dyDescent="0.3">
      <c r="A44" s="126">
        <v>42</v>
      </c>
      <c r="B44" s="76" t="s">
        <v>220</v>
      </c>
      <c r="C44" s="117" t="s">
        <v>66</v>
      </c>
      <c r="D44" s="77" t="s">
        <v>105</v>
      </c>
      <c r="E44" s="77" t="s">
        <v>230</v>
      </c>
      <c r="F44" s="78" t="s">
        <v>133</v>
      </c>
      <c r="G44" s="77" t="s">
        <v>210</v>
      </c>
      <c r="H44" s="79" t="s">
        <v>236</v>
      </c>
      <c r="I44" s="77" t="s">
        <v>231</v>
      </c>
      <c r="J44" s="80">
        <v>1</v>
      </c>
      <c r="K44" s="81">
        <f t="shared" si="1"/>
        <v>5</v>
      </c>
      <c r="L44" s="82" t="s">
        <v>14</v>
      </c>
      <c r="M44" s="83">
        <v>0.73</v>
      </c>
      <c r="N44" s="84">
        <f t="shared" si="2"/>
        <v>0.73</v>
      </c>
      <c r="O44" s="105">
        <v>0.73</v>
      </c>
      <c r="P44" s="95">
        <f t="shared" si="0"/>
        <v>3.65</v>
      </c>
      <c r="Q44" s="110"/>
    </row>
    <row r="45" spans="1:17" ht="15.75" thickBot="1" x14ac:dyDescent="0.3">
      <c r="A45" s="126">
        <v>43</v>
      </c>
      <c r="B45" s="148" t="s">
        <v>214</v>
      </c>
      <c r="C45" s="111" t="s">
        <v>37</v>
      </c>
      <c r="D45" s="12" t="s">
        <v>77</v>
      </c>
      <c r="E45" s="12" t="s">
        <v>230</v>
      </c>
      <c r="F45" s="55" t="s">
        <v>112</v>
      </c>
      <c r="G45" s="12" t="s">
        <v>197</v>
      </c>
      <c r="H45" s="54" t="s">
        <v>236</v>
      </c>
      <c r="I45" s="12" t="s">
        <v>231</v>
      </c>
      <c r="J45" s="14">
        <v>1</v>
      </c>
      <c r="K45" s="15">
        <f t="shared" ref="K45:K50" si="3">J45*5</f>
        <v>5</v>
      </c>
      <c r="L45" s="38" t="s">
        <v>14</v>
      </c>
      <c r="M45" s="16">
        <v>0.19</v>
      </c>
      <c r="N45" s="17">
        <f>J45*M45</f>
        <v>0.19</v>
      </c>
      <c r="O45" s="102">
        <v>0.19</v>
      </c>
      <c r="P45" s="90">
        <f>O45*K45</f>
        <v>0.95</v>
      </c>
      <c r="Q45" s="6"/>
    </row>
    <row r="46" spans="1:17" ht="15.75" thickBot="1" x14ac:dyDescent="0.3">
      <c r="A46" s="126">
        <v>44</v>
      </c>
      <c r="B46" s="149"/>
      <c r="C46" s="113" t="s">
        <v>39</v>
      </c>
      <c r="D46" s="18" t="s">
        <v>80</v>
      </c>
      <c r="E46" s="18" t="s">
        <v>230</v>
      </c>
      <c r="F46" s="56" t="s">
        <v>115</v>
      </c>
      <c r="G46" s="18" t="s">
        <v>197</v>
      </c>
      <c r="H46" s="49" t="s">
        <v>236</v>
      </c>
      <c r="I46" s="18" t="s">
        <v>231</v>
      </c>
      <c r="J46" s="20">
        <v>1</v>
      </c>
      <c r="K46" s="21">
        <f t="shared" si="3"/>
        <v>5</v>
      </c>
      <c r="L46" s="39" t="s">
        <v>14</v>
      </c>
      <c r="M46" s="25">
        <v>0.24</v>
      </c>
      <c r="N46" s="61">
        <f>J46*M46</f>
        <v>0.24</v>
      </c>
      <c r="O46" s="98">
        <v>0.24</v>
      </c>
      <c r="P46" s="91">
        <f>O46*K46</f>
        <v>1.2</v>
      </c>
      <c r="Q46" s="8"/>
    </row>
    <row r="47" spans="1:17" ht="30.75" thickBot="1" x14ac:dyDescent="0.3">
      <c r="A47" s="126">
        <v>45</v>
      </c>
      <c r="B47" s="149"/>
      <c r="C47" s="113" t="s">
        <v>40</v>
      </c>
      <c r="D47" s="18" t="s">
        <v>81</v>
      </c>
      <c r="E47" s="18" t="s">
        <v>230</v>
      </c>
      <c r="F47" s="18" t="s">
        <v>116</v>
      </c>
      <c r="G47" s="18" t="s">
        <v>199</v>
      </c>
      <c r="H47" s="49" t="s">
        <v>236</v>
      </c>
      <c r="I47" s="18" t="s">
        <v>231</v>
      </c>
      <c r="J47" s="20">
        <v>1</v>
      </c>
      <c r="K47" s="21">
        <f t="shared" si="3"/>
        <v>5</v>
      </c>
      <c r="L47" s="39" t="s">
        <v>14</v>
      </c>
      <c r="M47" s="25">
        <v>1.19</v>
      </c>
      <c r="N47" s="61">
        <f>J47*M47</f>
        <v>1.19</v>
      </c>
      <c r="O47" s="99">
        <v>1.19</v>
      </c>
      <c r="P47" s="91">
        <f>O47*K47</f>
        <v>5.9499999999999993</v>
      </c>
      <c r="Q47" s="107" t="s">
        <v>23</v>
      </c>
    </row>
    <row r="48" spans="1:17" ht="15.75" thickBot="1" x14ac:dyDescent="0.3">
      <c r="A48" s="126">
        <v>46</v>
      </c>
      <c r="B48" s="149"/>
      <c r="C48" s="118" t="s">
        <v>59</v>
      </c>
      <c r="D48" s="65" t="s">
        <v>99</v>
      </c>
      <c r="E48" s="65" t="s">
        <v>230</v>
      </c>
      <c r="F48" s="65" t="s">
        <v>125</v>
      </c>
      <c r="G48" s="67" t="s">
        <v>236</v>
      </c>
      <c r="H48" s="67" t="s">
        <v>236</v>
      </c>
      <c r="I48" s="67" t="s">
        <v>236</v>
      </c>
      <c r="J48" s="66">
        <v>2</v>
      </c>
      <c r="K48" s="68">
        <f t="shared" si="3"/>
        <v>10</v>
      </c>
      <c r="L48" s="67" t="s">
        <v>236</v>
      </c>
      <c r="M48" s="67" t="s">
        <v>236</v>
      </c>
      <c r="N48" s="67" t="s">
        <v>236</v>
      </c>
      <c r="O48" s="67" t="s">
        <v>236</v>
      </c>
      <c r="P48" s="67" t="s">
        <v>236</v>
      </c>
      <c r="Q48" s="108" t="s">
        <v>228</v>
      </c>
    </row>
    <row r="49" spans="1:17" ht="15.75" thickBot="1" x14ac:dyDescent="0.3">
      <c r="A49" s="126">
        <v>47</v>
      </c>
      <c r="B49" s="149"/>
      <c r="C49" s="64" t="s">
        <v>241</v>
      </c>
      <c r="D49" s="65" t="s">
        <v>78</v>
      </c>
      <c r="E49" s="65" t="s">
        <v>230</v>
      </c>
      <c r="F49" s="65" t="s">
        <v>113</v>
      </c>
      <c r="G49" s="67" t="s">
        <v>236</v>
      </c>
      <c r="H49" s="67" t="s">
        <v>236</v>
      </c>
      <c r="I49" s="67" t="s">
        <v>236</v>
      </c>
      <c r="J49" s="66">
        <v>1</v>
      </c>
      <c r="K49" s="68">
        <f t="shared" si="3"/>
        <v>5</v>
      </c>
      <c r="L49" s="67" t="s">
        <v>236</v>
      </c>
      <c r="M49" s="67" t="s">
        <v>236</v>
      </c>
      <c r="N49" s="67" t="s">
        <v>236</v>
      </c>
      <c r="O49" s="67" t="s">
        <v>236</v>
      </c>
      <c r="P49" s="67" t="s">
        <v>236</v>
      </c>
      <c r="Q49" s="108" t="s">
        <v>228</v>
      </c>
    </row>
    <row r="50" spans="1:17" ht="15.75" thickBot="1" x14ac:dyDescent="0.3">
      <c r="A50" s="126">
        <v>48</v>
      </c>
      <c r="B50" s="150"/>
      <c r="C50" s="119" t="s">
        <v>38</v>
      </c>
      <c r="D50" s="85" t="s">
        <v>79</v>
      </c>
      <c r="E50" s="85" t="s">
        <v>230</v>
      </c>
      <c r="F50" s="85" t="s">
        <v>114</v>
      </c>
      <c r="G50" s="85" t="s">
        <v>198</v>
      </c>
      <c r="H50" s="86" t="s">
        <v>236</v>
      </c>
      <c r="I50" s="85" t="s">
        <v>236</v>
      </c>
      <c r="J50" s="87">
        <v>1</v>
      </c>
      <c r="K50" s="88">
        <f t="shared" si="3"/>
        <v>5</v>
      </c>
      <c r="L50" s="85" t="s">
        <v>236</v>
      </c>
      <c r="M50" s="85" t="s">
        <v>236</v>
      </c>
      <c r="N50" s="85" t="s">
        <v>236</v>
      </c>
      <c r="O50" s="85" t="s">
        <v>236</v>
      </c>
      <c r="P50" s="85" t="s">
        <v>236</v>
      </c>
      <c r="Q50" s="109" t="s">
        <v>228</v>
      </c>
    </row>
    <row r="51" spans="1:17" ht="19.5" thickBot="1" x14ac:dyDescent="0.35">
      <c r="A51" s="5"/>
      <c r="B51" s="5"/>
      <c r="C51" s="120"/>
      <c r="D51" s="5"/>
      <c r="E51" s="5"/>
      <c r="F51" s="5"/>
      <c r="G51" s="5"/>
      <c r="H51" s="5"/>
      <c r="I51"/>
      <c r="J51" s="143" t="s">
        <v>7</v>
      </c>
      <c r="K51" s="143"/>
      <c r="L51" s="143"/>
      <c r="M51" s="143"/>
      <c r="N51" s="2"/>
      <c r="O51" s="5"/>
      <c r="P51" s="3">
        <f>SUM(P3:P50)</f>
        <v>142.65599999999998</v>
      </c>
      <c r="Q51" s="5"/>
    </row>
    <row r="52" spans="1:17" ht="18.75" x14ac:dyDescent="0.3">
      <c r="A52" s="5"/>
      <c r="B52" s="5"/>
      <c r="C52" s="120"/>
      <c r="D52" s="5"/>
      <c r="E52" s="5"/>
      <c r="F52" s="5"/>
      <c r="G52" s="5"/>
      <c r="H52" s="5"/>
      <c r="I52"/>
      <c r="J52" s="138" t="s">
        <v>11</v>
      </c>
      <c r="K52" s="138"/>
      <c r="L52" s="138"/>
      <c r="M52" s="138"/>
      <c r="N52" s="4">
        <f>SUM(N3:N50)</f>
        <v>30.696999999999999</v>
      </c>
      <c r="O52" s="5"/>
      <c r="P52" s="127">
        <f>P51/5</f>
        <v>28.531199999999995</v>
      </c>
      <c r="Q52" s="5"/>
    </row>
  </sheetData>
  <mergeCells count="8">
    <mergeCell ref="J52:M52"/>
    <mergeCell ref="A1:O1"/>
    <mergeCell ref="J51:M51"/>
    <mergeCell ref="B16:B18"/>
    <mergeCell ref="B38:B43"/>
    <mergeCell ref="B3:B14"/>
    <mergeCell ref="B45:B50"/>
    <mergeCell ref="B21:B36"/>
  </mergeCells>
  <conditionalFormatting sqref="N5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{4D908242-0CAE-411C-A7D1-5924318D99E1}</x14:id>
        </ext>
      </extLst>
    </cfRule>
  </conditionalFormatting>
  <conditionalFormatting sqref="Q3:Q50">
    <cfRule type="dataBar" priority="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{40DC3694-FF5B-41E0-80BB-7AB614178D12}</x14:id>
        </ext>
      </extLst>
    </cfRule>
  </conditionalFormatting>
  <conditionalFormatting sqref="K3:K50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N47">
    <cfRule type="dataBar" priority="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{E90D3905-D18A-4314-85F8-BF4924CFF615}</x14:id>
        </ext>
      </extLst>
    </cfRule>
  </conditionalFormatting>
  <conditionalFormatting sqref="P3:P47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{9F41C311-B53F-4FDE-A999-535E1BB8B4D8}</x14:id>
        </ext>
      </extLst>
    </cfRule>
  </conditionalFormatting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6" r:id="rId4" xr:uid="{00000000-0004-0000-0000-000003000000}"/>
    <hyperlink ref="L7" r:id="rId5" xr:uid="{00000000-0004-0000-0000-000004000000}"/>
    <hyperlink ref="L8" r:id="rId6" xr:uid="{00000000-0004-0000-0000-000005000000}"/>
    <hyperlink ref="L10" r:id="rId7" xr:uid="{00000000-0004-0000-0000-000006000000}"/>
    <hyperlink ref="L11" r:id="rId8" xr:uid="{00000000-0004-0000-0000-000007000000}"/>
    <hyperlink ref="L12" r:id="rId9" xr:uid="{00000000-0004-0000-0000-000008000000}"/>
    <hyperlink ref="L13" r:id="rId10" xr:uid="{00000000-0004-0000-0000-000009000000}"/>
    <hyperlink ref="L14" r:id="rId11" xr:uid="{00000000-0004-0000-0000-00000A000000}"/>
    <hyperlink ref="L15" r:id="rId12" xr:uid="{00000000-0004-0000-0000-00000B000000}"/>
    <hyperlink ref="L45" r:id="rId13" xr:uid="{00000000-0004-0000-0000-00000C000000}"/>
    <hyperlink ref="L46" r:id="rId14" xr:uid="{00000000-0004-0000-0000-00000D000000}"/>
    <hyperlink ref="L47" r:id="rId15" xr:uid="{00000000-0004-0000-0000-00000E000000}"/>
    <hyperlink ref="L16" r:id="rId16" xr:uid="{00000000-0004-0000-0000-00000F000000}"/>
    <hyperlink ref="L17" r:id="rId17" xr:uid="{00000000-0004-0000-0000-000010000000}"/>
    <hyperlink ref="L18" r:id="rId18" xr:uid="{00000000-0004-0000-0000-000011000000}"/>
    <hyperlink ref="L19" r:id="rId19" xr:uid="{00000000-0004-0000-0000-000012000000}"/>
    <hyperlink ref="L20" r:id="rId20" xr:uid="{00000000-0004-0000-0000-000013000000}"/>
    <hyperlink ref="L21" r:id="rId21" xr:uid="{00000000-0004-0000-0000-000014000000}"/>
    <hyperlink ref="L24" r:id="rId22" xr:uid="{00000000-0004-0000-0000-000017000000}"/>
    <hyperlink ref="L25" r:id="rId23" xr:uid="{00000000-0004-0000-0000-000018000000}"/>
    <hyperlink ref="L26" r:id="rId24" xr:uid="{00000000-0004-0000-0000-000019000000}"/>
    <hyperlink ref="L27" r:id="rId25" xr:uid="{00000000-0004-0000-0000-00001A000000}"/>
    <hyperlink ref="L28" r:id="rId26" xr:uid="{00000000-0004-0000-0000-00001B000000}"/>
    <hyperlink ref="L29" r:id="rId27" xr:uid="{00000000-0004-0000-0000-00001C000000}"/>
    <hyperlink ref="L32" r:id="rId28" xr:uid="{00000000-0004-0000-0000-00001D000000}"/>
    <hyperlink ref="L33" r:id="rId29" xr:uid="{00000000-0004-0000-0000-00001E000000}"/>
    <hyperlink ref="L34" r:id="rId30" xr:uid="{00000000-0004-0000-0000-00001F000000}"/>
    <hyperlink ref="L35" r:id="rId31" xr:uid="{00000000-0004-0000-0000-000020000000}"/>
    <hyperlink ref="L36" r:id="rId32" xr:uid="{00000000-0004-0000-0000-000021000000}"/>
    <hyperlink ref="L37" r:id="rId33" xr:uid="{00000000-0004-0000-0000-000022000000}"/>
    <hyperlink ref="L38" r:id="rId34" xr:uid="{00000000-0004-0000-0000-000023000000}"/>
    <hyperlink ref="L39" r:id="rId35" xr:uid="{00000000-0004-0000-0000-000024000000}"/>
    <hyperlink ref="L40" r:id="rId36" xr:uid="{00000000-0004-0000-0000-000025000000}"/>
    <hyperlink ref="L41" r:id="rId37" xr:uid="{00000000-0004-0000-0000-000026000000}"/>
    <hyperlink ref="L42" r:id="rId38" xr:uid="{00000000-0004-0000-0000-000027000000}"/>
    <hyperlink ref="L44" r:id="rId39" xr:uid="{00000000-0004-0000-0000-000028000000}"/>
    <hyperlink ref="L43" r:id="rId40" xr:uid="{00000000-0004-0000-0000-000029000000}"/>
    <hyperlink ref="L30" r:id="rId41" xr:uid="{00000000-0004-0000-0000-00002B000000}"/>
    <hyperlink ref="L9" r:id="rId42" xr:uid="{DF2CB856-5BDC-4970-9721-C485C1FE2C0E}"/>
    <hyperlink ref="L22" r:id="rId43" xr:uid="{150AB1C9-727C-4068-9534-9C510C0EE5F7}"/>
    <hyperlink ref="L23" r:id="rId44" xr:uid="{1F5052BD-0788-45E2-B98F-B183AA0213F8}"/>
    <hyperlink ref="L31" r:id="rId45" xr:uid="{C79A3CF8-AD39-4595-984F-2169E05FCE15}"/>
  </hyperlinks>
  <pageMargins left="0.7" right="0.7" top="0.75" bottom="0.75" header="0.3" footer="0.3"/>
  <pageSetup orientation="portrait" horizontalDpi="300" verticalDpi="300" r:id="rId4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08242-0CAE-411C-A7D1-5924318D9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N52</xm:sqref>
        </x14:conditionalFormatting>
        <x14:conditionalFormatting xmlns:xm="http://schemas.microsoft.com/office/excel/2006/main">
          <x14:cfRule type="dataBar" id="{40DC3694-FF5B-41E0-80BB-7AB614178D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Q3:Q50</xm:sqref>
        </x14:conditionalFormatting>
        <x14:conditionalFormatting xmlns:xm="http://schemas.microsoft.com/office/excel/2006/main">
          <x14:cfRule type="dataBar" id="{E90D3905-D18A-4314-85F8-BF4924CFF6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N3:N47</xm:sqref>
        </x14:conditionalFormatting>
        <x14:conditionalFormatting xmlns:xm="http://schemas.microsoft.com/office/excel/2006/main">
          <x14:cfRule type="dataBar" id="{9F41C311-B53F-4FDE-A999-535E1BB8B4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2020-10-13T11:47:55Z</dcterms:created>
  <dcterms:modified xsi:type="dcterms:W3CDTF">2021-07-12T11:46:51Z</dcterms:modified>
</cp:coreProperties>
</file>